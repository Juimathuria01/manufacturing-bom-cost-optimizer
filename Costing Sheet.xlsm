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scmsb-my.sharepoint.com/personal/jmathuri_marshall_usc_edu/Documents/"/>
    </mc:Choice>
  </mc:AlternateContent>
  <xr:revisionPtr revIDLastSave="266" documentId="8_{520695CD-BAD9-4B55-BEAA-3F332A557157}" xr6:coauthVersionLast="47" xr6:coauthVersionMax="47" xr10:uidLastSave="{1F2A1DBB-400C-45C2-B3EB-7F802C4DE8F3}"/>
  <bookViews>
    <workbookView xWindow="-120" yWindow="-120" windowWidth="21840" windowHeight="13140" firstSheet="2" xr2:uid="{00000000-000D-0000-FFFF-FFFF00000000}"/>
  </bookViews>
  <sheets>
    <sheet name="Welcome" sheetId="1" r:id="rId1"/>
    <sheet name="VBA Setup Guide" sheetId="5" r:id="rId2"/>
    <sheet name="Vendor_A" sheetId="2" r:id="rId3"/>
    <sheet name="Vendor_B" sheetId="6" r:id="rId4"/>
    <sheet name="Vendor_C" sheetId="7" r:id="rId5"/>
    <sheet name="Product_LinearActuator" sheetId="8" r:id="rId6"/>
    <sheet name="Inventory Tracking" sheetId="4" r:id="rId7"/>
  </sheets>
  <definedNames>
    <definedName name="_xleta.NOW" hidden="1" xlm="1">#NAME?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8" l="1"/>
  <c r="F13" i="8"/>
  <c r="F12" i="8"/>
  <c r="F11" i="8"/>
  <c r="F10" i="8"/>
  <c r="F9" i="8"/>
  <c r="F8" i="8"/>
  <c r="F7" i="8"/>
  <c r="F6" i="8"/>
  <c r="F5" i="8"/>
  <c r="F4" i="8"/>
  <c r="I16" i="4"/>
  <c r="I15" i="4"/>
  <c r="I14" i="4"/>
  <c r="I13" i="4"/>
  <c r="I12" i="4"/>
  <c r="I11" i="4"/>
  <c r="I10" i="4"/>
  <c r="I9" i="4"/>
  <c r="I8" i="4"/>
  <c r="I7" i="4"/>
  <c r="J14" i="8"/>
  <c r="E14" i="8"/>
  <c r="B14" i="8"/>
  <c r="J13" i="8"/>
  <c r="E13" i="8"/>
  <c r="B13" i="8"/>
  <c r="J12" i="8"/>
  <c r="E12" i="8"/>
  <c r="B12" i="8"/>
  <c r="J11" i="8"/>
  <c r="E11" i="8"/>
  <c r="B11" i="8"/>
  <c r="J10" i="8"/>
  <c r="E10" i="8"/>
  <c r="B10" i="8"/>
  <c r="J9" i="8"/>
  <c r="E9" i="8"/>
  <c r="B9" i="8"/>
  <c r="J8" i="8"/>
  <c r="E8" i="8"/>
  <c r="B8" i="8"/>
  <c r="J7" i="8"/>
  <c r="E7" i="8"/>
  <c r="B7" i="8"/>
  <c r="J6" i="8"/>
  <c r="E6" i="8"/>
  <c r="B6" i="8"/>
  <c r="J5" i="8"/>
  <c r="E5" i="8"/>
  <c r="B5" i="8"/>
  <c r="J4" i="8"/>
  <c r="E4" i="8"/>
  <c r="B4" i="8"/>
  <c r="F16" i="4"/>
  <c r="E16" i="4"/>
  <c r="G16" i="4" s="1"/>
  <c r="B16" i="4"/>
  <c r="F15" i="4"/>
  <c r="E15" i="4"/>
  <c r="G15" i="4" s="1"/>
  <c r="B15" i="4"/>
  <c r="F14" i="4"/>
  <c r="E14" i="4"/>
  <c r="G14" i="4" s="1"/>
  <c r="B14" i="4"/>
  <c r="F13" i="4"/>
  <c r="E13" i="4"/>
  <c r="G13" i="4" s="1"/>
  <c r="B13" i="4"/>
  <c r="F12" i="4"/>
  <c r="E12" i="4"/>
  <c r="G12" i="4" s="1"/>
  <c r="B12" i="4"/>
  <c r="F11" i="4"/>
  <c r="E11" i="4"/>
  <c r="G11" i="4" s="1"/>
  <c r="B11" i="4"/>
  <c r="F10" i="4"/>
  <c r="E10" i="4"/>
  <c r="G10" i="4" s="1"/>
  <c r="B10" i="4"/>
  <c r="F9" i="4"/>
  <c r="E9" i="4"/>
  <c r="G9" i="4" s="1"/>
  <c r="B9" i="4"/>
  <c r="F8" i="4"/>
  <c r="E8" i="4"/>
  <c r="G8" i="4" s="1"/>
  <c r="B8" i="4"/>
  <c r="F7" i="4"/>
  <c r="E7" i="4"/>
  <c r="G7" i="4" s="1"/>
  <c r="B7" i="4"/>
  <c r="B19" i="4" l="1"/>
  <c r="E19" i="4"/>
  <c r="H19" i="4"/>
  <c r="H7" i="4"/>
  <c r="J7" i="4" s="1"/>
  <c r="H8" i="4"/>
  <c r="J8" i="4" s="1"/>
  <c r="H9" i="4"/>
  <c r="J9" i="4" s="1"/>
  <c r="H10" i="4"/>
  <c r="J10" i="4" s="1"/>
  <c r="H11" i="4"/>
  <c r="J11" i="4" s="1"/>
  <c r="H12" i="4"/>
  <c r="J12" i="4" s="1"/>
  <c r="H13" i="4"/>
  <c r="J13" i="4" s="1"/>
  <c r="H14" i="4"/>
  <c r="J14" i="4" s="1"/>
  <c r="H15" i="4"/>
  <c r="J15" i="4" s="1"/>
  <c r="H16" i="4"/>
  <c r="J16" i="4" s="1"/>
  <c r="G4" i="8"/>
  <c r="H4" i="8" s="1"/>
  <c r="G5" i="8"/>
  <c r="H5" i="8" s="1"/>
  <c r="I5" i="8"/>
  <c r="G6" i="8"/>
  <c r="H6" i="8" s="1"/>
  <c r="I6" i="8"/>
  <c r="G7" i="8"/>
  <c r="H7" i="8" s="1"/>
  <c r="I7" i="8"/>
  <c r="G8" i="8"/>
  <c r="H8" i="8" s="1"/>
  <c r="I8" i="8"/>
  <c r="G9" i="8"/>
  <c r="H9" i="8" s="1"/>
  <c r="I9" i="8"/>
  <c r="G10" i="8"/>
  <c r="H10" i="8" s="1"/>
  <c r="I10" i="8"/>
  <c r="G11" i="8"/>
  <c r="H11" i="8" s="1"/>
  <c r="I11" i="8"/>
  <c r="G12" i="8"/>
  <c r="H12" i="8" s="1"/>
  <c r="I12" i="8"/>
  <c r="G13" i="8"/>
  <c r="H13" i="8" s="1"/>
  <c r="I13" i="8"/>
  <c r="G14" i="8"/>
  <c r="H14" i="8" s="1"/>
  <c r="I14" i="8"/>
  <c r="I4" i="8" l="1"/>
  <c r="H17" i="8"/>
</calcChain>
</file>

<file path=xl/sharedStrings.xml><?xml version="1.0" encoding="utf-8"?>
<sst xmlns="http://schemas.openxmlformats.org/spreadsheetml/2006/main" count="267" uniqueCount="149">
  <si>
    <t>This workbook helps you calculate the total cost to manufacture products by:
• Comparing prices from multiple vendors for the same parts
• Automatically applying volume discounts based on quantity
• Tracking lead times and minimum order quantities
• Calculating total product costs across different production volumes</t>
  </si>
  <si>
    <t>STEP 1</t>
  </si>
  <si>
    <t>STEP 2</t>
  </si>
  <si>
    <t>Set Production Quantity (Yellow highlighted cell in row 2)</t>
  </si>
  <si>
    <t>STEP 3</t>
  </si>
  <si>
    <t>Select Vendors using dropdown menus in 'Selected_Vendor' column</t>
  </si>
  <si>
    <t>STEP 4</t>
  </si>
  <si>
    <t>Watch the Total Cost automatically calculate at the bottom!</t>
  </si>
  <si>
    <t>Sheet Name</t>
  </si>
  <si>
    <t>Purpose</t>
  </si>
  <si>
    <t>What You Can Do</t>
  </si>
  <si>
    <t>Vendor_A</t>
  </si>
  <si>
    <t>View prices, lead times, MOQs, discount tiers</t>
  </si>
  <si>
    <t>Vendor_B</t>
  </si>
  <si>
    <t>Vendor_C</t>
  </si>
  <si>
    <t>Product_LinearActuator</t>
  </si>
  <si>
    <t>BOM for Precision Linear Actuator</t>
  </si>
  <si>
    <t>Select vendors, set quantities, see total cost</t>
  </si>
  <si>
    <t>Color</t>
  </si>
  <si>
    <t>Meaning</t>
  </si>
  <si>
    <t>Blue Text</t>
  </si>
  <si>
    <t>Your Inputs - You can edit these (Part IDs, Vendor selection, Quantities)</t>
  </si>
  <si>
    <t>Green Text</t>
  </si>
  <si>
    <t>Cross-Sheet Links - Pulls data from vendor sheets automatically</t>
  </si>
  <si>
    <t>Black Text</t>
  </si>
  <si>
    <t>Formulas - Automatic calculations based on your inputs</t>
  </si>
  <si>
    <t>Yellow Background</t>
  </si>
  <si>
    <t>Important Input Cell - Production quantity that affects all calculations</t>
  </si>
  <si>
    <t>Part_ID</t>
  </si>
  <si>
    <t>Part_Name</t>
  </si>
  <si>
    <t>Unit_Price</t>
  </si>
  <si>
    <t>Lead_Time_Days</t>
  </si>
  <si>
    <t>Min_Order_Qty</t>
  </si>
  <si>
    <t>Discount_10%_Qty</t>
  </si>
  <si>
    <t>Discount_15%_Qty</t>
  </si>
  <si>
    <t>P001</t>
  </si>
  <si>
    <t>Stepper Motor NEMA 23</t>
  </si>
  <si>
    <t>P002</t>
  </si>
  <si>
    <t>Linear Guide Rail 500mm</t>
  </si>
  <si>
    <t>P003</t>
  </si>
  <si>
    <t>Ball Screw Assembly</t>
  </si>
  <si>
    <t>P004</t>
  </si>
  <si>
    <t>Motor Coupling 8mm</t>
  </si>
  <si>
    <t>P005</t>
  </si>
  <si>
    <t>Limit Switch (Roller)</t>
  </si>
  <si>
    <t>P006</t>
  </si>
  <si>
    <t>Aluminum Mounting Bracket</t>
  </si>
  <si>
    <t>P007</t>
  </si>
  <si>
    <t>Deep Groove Bearing 608</t>
  </si>
  <si>
    <t>P008</t>
  </si>
  <si>
    <t>M5 Fastener Kit (100pc)</t>
  </si>
  <si>
    <t>P009</t>
  </si>
  <si>
    <t>Motor Controller Board</t>
  </si>
  <si>
    <t>P010</t>
  </si>
  <si>
    <t>24V Power Supply 5A</t>
  </si>
  <si>
    <t>P011</t>
  </si>
  <si>
    <t>Servo Motor MG996R</t>
  </si>
  <si>
    <t>P012</t>
  </si>
  <si>
    <t>Gripper Finger (Machined)</t>
  </si>
  <si>
    <t>P013</t>
  </si>
  <si>
    <t>Linear Bearing LM8UU</t>
  </si>
  <si>
    <t>P014</t>
  </si>
  <si>
    <t>Cable Harness 1m</t>
  </si>
  <si>
    <t>JUST-IN-TIME INVENTORY MANAGEMENT</t>
  </si>
  <si>
    <t>Track current inventory levels and get reorder alerts</t>
  </si>
  <si>
    <t>Current_Stock</t>
  </si>
  <si>
    <t>Monthly_Usage</t>
  </si>
  <si>
    <t>Safety_Stock</t>
  </si>
  <si>
    <t>Reorder_Point</t>
  </si>
  <si>
    <t>Order_Qty_Needed</t>
  </si>
  <si>
    <t>Status</t>
  </si>
  <si>
    <t>Action</t>
  </si>
  <si>
    <t>📊 INVENTORY SUMMARY</t>
  </si>
  <si>
    <t>Parts Needing Reorder:</t>
  </si>
  <si>
    <t>Parts with Low Stock:</t>
  </si>
  <si>
    <t>Parts with Healthy Stock:</t>
  </si>
  <si>
    <t>VBA MACRO INSTALLATION &amp; USER GUIDE</t>
  </si>
  <si>
    <t>The VBA macro automatically selects the cheapest vendor for each part, maximizing your cost savings!</t>
  </si>
  <si>
    <t>1</t>
  </si>
  <si>
    <t>Save this workbook as .xlsm</t>
  </si>
  <si>
    <t>File &gt; Save As &gt; Excel Macro-Enabled Workbook (*.xlsm)</t>
  </si>
  <si>
    <t>2</t>
  </si>
  <si>
    <t>Open VBA Editor</t>
  </si>
  <si>
    <t>Press ALT + F11 on your keyboard</t>
  </si>
  <si>
    <t>3</t>
  </si>
  <si>
    <t>Insert a new module</t>
  </si>
  <si>
    <t>In VBA Editor: Insert &gt; Module</t>
  </si>
  <si>
    <t>4</t>
  </si>
  <si>
    <t>Copy VBA code</t>
  </si>
  <si>
    <t>Open the file 'VBA_Macros.txt' (saved with this workbook)</t>
  </si>
  <si>
    <t>5</t>
  </si>
  <si>
    <t>Paste code</t>
  </si>
  <si>
    <t>Paste the entire code into the module window</t>
  </si>
  <si>
    <t>6</t>
  </si>
  <si>
    <t>Close VBA Editor</t>
  </si>
  <si>
    <t>Press ALT + Q or close the window</t>
  </si>
  <si>
    <t>7</t>
  </si>
  <si>
    <t>Enable macros</t>
  </si>
  <si>
    <t>When you open the file, click 'Enable Content'</t>
  </si>
  <si>
    <t>P015</t>
  </si>
  <si>
    <t>Precision Shaft 8mm x 400mm</t>
  </si>
  <si>
    <t>P016</t>
  </si>
  <si>
    <t>Encoder 600 P/R</t>
  </si>
  <si>
    <t>P017</t>
  </si>
  <si>
    <t>Spring Return Mechanism</t>
  </si>
  <si>
    <t>PRECISION LINEAR ACTUATOR - Bill of Materials</t>
  </si>
  <si>
    <t>Production Quantity:</t>
  </si>
  <si>
    <t>Selected_Vendor</t>
  </si>
  <si>
    <t>Qty_Per_Product</t>
  </si>
  <si>
    <t>Total_Qty</t>
  </si>
  <si>
    <t>Discount_%</t>
  </si>
  <si>
    <t>Discounted_Price</t>
  </si>
  <si>
    <t>Total_Cost</t>
  </si>
  <si>
    <t>TOTAL PRODUCT COST:</t>
  </si>
  <si>
    <t>HOW TO USE THE MACROS</t>
  </si>
  <si>
    <t>INSTALLATION STEPS (One-Time Setup)</t>
  </si>
  <si>
    <t>AUTOMATIC VENDOR OPTIMIZATION</t>
  </si>
  <si>
    <t>INSTRUCTIONS: Enter current inventory levels in 'Current Stock' column. System will calculate reorder points and alert you.</t>
  </si>
  <si>
    <t>Choose a Product Sheet (Product_LinearActuator)</t>
  </si>
  <si>
    <t xml:space="preserve"> WHAT THIS WORKBOOK DOES</t>
  </si>
  <si>
    <t>QUICK START GUIDE - 4 EASY STEPS</t>
  </si>
  <si>
    <t>WORKBOOK STRUCTURE</t>
  </si>
  <si>
    <t>Pricing catalog from Vendors</t>
  </si>
  <si>
    <t>Inventory Tracking</t>
  </si>
  <si>
    <t>Dynamic Vendor Switching - Change vendors instantly and see price updates
Automatic Volume Discounts - 10% discount at mid-tier, 15% at high-tier quantities
Real-Time Cost Calculation - Total product cost updates as you make changes
Lead Time Tracking - See delivery times for each part from each vendor
Minimum Order Quantities - Ensure you meet vendor MOQ requirements
Multi-Product Support - Calculate costs for multiple product assemblies</t>
  </si>
  <si>
    <t>Ready to get started? Click on Product_LinearActuator →</t>
  </si>
  <si>
    <t>Multi-Vendor Product Cost Calculator</t>
  </si>
  <si>
    <t>MANUFACTURING BOM COSTING SYSTEM</t>
  </si>
  <si>
    <t>KEY FEATURES</t>
  </si>
  <si>
    <t xml:space="preserve">Track inventory &amp; get reorder alerts </t>
  </si>
  <si>
    <t>Enter stock levels, monthly usage; get automatic reorder points and status alerts</t>
  </si>
  <si>
    <t>COLOR CODE LEGEND</t>
  </si>
  <si>
    <t>Install VBA macros for one-click vendor optimization and advanced analysis (see VBA Setup Guide sheet for instructions)</t>
  </si>
  <si>
    <t>Macro Name</t>
  </si>
  <si>
    <t>What It Does</t>
  </si>
  <si>
    <t>When to Use It</t>
  </si>
  <si>
    <t>OptimizeLinearActuator</t>
  </si>
  <si>
    <t>Automatically finds the cheapest vendor for EVERY part. Shows before/after costs and total savings.</t>
  </si>
  <si>
    <t>When you want maximum cost savings. Run after changing production quantities.</t>
  </si>
  <si>
    <t>ResetLinearActuatorToVendorA</t>
  </si>
  <si>
    <t>Quickly resets all parts to use Vendor A</t>
  </si>
  <si>
    <t>To establish a baseline cost or test different scenarios</t>
  </si>
  <si>
    <t>ShowVendorBreakdown</t>
  </si>
  <si>
    <t>Shows how many parts from each vendor + total cost</t>
  </si>
  <si>
    <t>To check vendor diversity and current sourcing strategy</t>
  </si>
  <si>
    <t>HighlightExpensiveParts</t>
  </si>
  <si>
    <t>Highlights the top 3 most expensive parts in your BOM</t>
  </si>
  <si>
    <t>To focus cost optimization on high-impact parts</t>
  </si>
  <si>
    <t>VBA MACROS - AUTOMATED OPTIMIZATION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</si>
</sst>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$#,##0.00"/>
    <numFmt numFmtId="165" formatCode="0.0%"/>
  </numFmts>
  <fonts count="30" x14ac:knownFonts="1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color rgb="FF0000FF"/>
      <name val="Arial"/>
      <family val="2"/>
    </font>
    <font>
      <sz val="10"/>
      <color rgb="FF008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b/>
      <sz val="12"/>
      <color rgb="FF000000"/>
      <name val="Arial"/>
      <family val="2"/>
    </font>
    <font>
      <b/>
      <sz val="20"/>
      <color rgb="FFFFFFFF"/>
      <name val="Arial"/>
      <family val="2"/>
    </font>
    <font>
      <b/>
      <i/>
      <sz val="11"/>
      <color rgb="FF666666"/>
      <name val="Arial"/>
      <family val="2"/>
    </font>
    <font>
      <b/>
      <sz val="14"/>
      <color rgb="FF1F4E78"/>
      <name val="Arial"/>
      <family val="2"/>
    </font>
    <font>
      <b/>
      <sz val="10"/>
      <color rgb="FF0000FF"/>
      <name val="Arial"/>
      <family val="2"/>
    </font>
    <font>
      <b/>
      <sz val="10"/>
      <color rgb="FF008000"/>
      <name val="Arial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  <font>
      <b/>
      <sz val="14"/>
      <color rgb="FFFFFFFF"/>
      <name val="Arial"/>
      <family val="2"/>
    </font>
    <font>
      <b/>
      <sz val="12"/>
      <color rgb="FF1F4E78"/>
      <name val="Arial"/>
      <family val="2"/>
    </font>
    <font>
      <sz val="9"/>
      <name val="Arial"/>
      <family val="2"/>
    </font>
    <font>
      <i/>
      <sz val="10"/>
      <name val="Arial"/>
      <family val="2"/>
    </font>
    <font>
      <b/>
      <sz val="12"/>
      <color rgb="FFC00000"/>
      <name val="Arial"/>
      <family val="2"/>
    </font>
    <font>
      <b/>
      <sz val="11"/>
      <color rgb="FF1F4E7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Arial"/>
      <family val="2"/>
    </font>
    <font>
      <b/>
      <sz val="11"/>
      <color rgb="FFFF0000"/>
      <name val="Arial"/>
      <family val="2"/>
    </font>
    <font>
      <b/>
      <sz val="11"/>
      <color rgb="FFFF8C00"/>
      <name val="Arial"/>
      <family val="2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366092"/>
        <bgColor rgb="FF366092"/>
      </patternFill>
    </fill>
    <fill>
      <patternFill patternType="solid">
        <fgColor rgb="FFD9E1F2"/>
        <bgColor rgb="FFD9E1F2"/>
      </patternFill>
    </fill>
    <fill>
      <patternFill patternType="solid">
        <fgColor rgb="FFFFFF00"/>
        <bgColor rgb="FFFFFF00"/>
      </patternFill>
    </fill>
    <fill>
      <patternFill patternType="solid">
        <fgColor rgb="FF1F4E78"/>
        <bgColor rgb="FF1F4E78"/>
      </patternFill>
    </fill>
    <fill>
      <patternFill patternType="solid">
        <fgColor rgb="FF4472C4"/>
        <bgColor rgb="FF4472C4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DDEBF7"/>
        <bgColor rgb="FFDDEBF7"/>
      </patternFill>
    </fill>
    <fill>
      <patternFill patternType="solid">
        <fgColor rgb="FFC00000"/>
        <bgColor rgb="FFC00000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2CC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9" fontId="23" fillId="0" borderId="0" applyFont="0" applyFill="0" applyBorder="0" applyAlignment="0" applyProtection="0"/>
    <xf numFmtId="0" fontId="28" fillId="0" borderId="0" applyNumberFormat="0" applyFill="0" applyBorder="0" applyAlignment="0" applyProtection="0"/>
  </cellStyleXfs>
  <cellXfs count="10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/>
    <xf numFmtId="164" fontId="2" fillId="0" borderId="1" xfId="0" applyNumberFormat="1" applyFont="1" applyBorder="1"/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5" fillId="4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7" fillId="0" borderId="1" xfId="0" applyFont="1" applyBorder="1"/>
    <xf numFmtId="0" fontId="6" fillId="0" borderId="1" xfId="0" applyFont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 wrapText="1"/>
    </xf>
    <xf numFmtId="0" fontId="5" fillId="9" borderId="1" xfId="0" applyFont="1" applyFill="1" applyBorder="1"/>
    <xf numFmtId="1" fontId="7" fillId="0" borderId="1" xfId="0" applyNumberFormat="1" applyFont="1" applyBorder="1"/>
    <xf numFmtId="0" fontId="7" fillId="0" borderId="1" xfId="0" applyFont="1" applyBorder="1" applyAlignment="1">
      <alignment horizontal="center" vertical="center"/>
    </xf>
    <xf numFmtId="0" fontId="16" fillId="0" borderId="0" xfId="0" applyFont="1"/>
    <xf numFmtId="0" fontId="1" fillId="6" borderId="0" xfId="0" applyFont="1" applyFill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0" borderId="0" xfId="0"/>
    <xf numFmtId="0" fontId="2" fillId="0" borderId="1" xfId="0" applyFont="1" applyBorder="1" applyAlignment="1">
      <alignment horizontal="left" vertical="top" wrapText="1"/>
    </xf>
    <xf numFmtId="0" fontId="0" fillId="0" borderId="5" xfId="0" applyBorder="1"/>
    <xf numFmtId="0" fontId="0" fillId="0" borderId="6" xfId="0" applyBorder="1"/>
    <xf numFmtId="0" fontId="2" fillId="3" borderId="1" xfId="0" applyFont="1" applyFill="1" applyBorder="1" applyAlignment="1">
      <alignment horizontal="left" vertical="top" wrapText="1"/>
    </xf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6" borderId="1" xfId="0" applyFont="1" applyFill="1" applyBorder="1" applyAlignment="1">
      <alignment horizontal="left" vertical="center"/>
    </xf>
    <xf numFmtId="0" fontId="11" fillId="0" borderId="0" xfId="0" applyFont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/>
    </xf>
    <xf numFmtId="0" fontId="10" fillId="5" borderId="2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8" fillId="0" borderId="0" xfId="0" applyFont="1" applyAlignment="1">
      <alignment horizontal="left" vertical="center"/>
    </xf>
    <xf numFmtId="0" fontId="17" fillId="5" borderId="2" xfId="0" applyFont="1" applyFill="1" applyBorder="1" applyAlignment="1">
      <alignment horizontal="center" vertical="center"/>
    </xf>
    <xf numFmtId="0" fontId="16" fillId="8" borderId="0" xfId="0" applyFont="1" applyFill="1" applyAlignment="1">
      <alignment horizontal="left" vertical="top" wrapText="1"/>
    </xf>
    <xf numFmtId="0" fontId="20" fillId="0" borderId="0" xfId="0" applyFont="1" applyAlignment="1">
      <alignment horizontal="center" vertical="center"/>
    </xf>
    <xf numFmtId="0" fontId="16" fillId="0" borderId="0" xfId="0" applyFont="1"/>
    <xf numFmtId="0" fontId="22" fillId="0" borderId="0" xfId="0" applyFont="1"/>
    <xf numFmtId="0" fontId="19" fillId="0" borderId="0" xfId="0" applyFont="1" applyAlignment="1">
      <alignment horizontal="left" vertical="center" wrapText="1"/>
    </xf>
    <xf numFmtId="0" fontId="17" fillId="10" borderId="0" xfId="0" applyFont="1" applyFill="1" applyAlignment="1">
      <alignment horizontal="center" vertical="center"/>
    </xf>
    <xf numFmtId="0" fontId="21" fillId="0" borderId="0" xfId="0" applyFont="1"/>
    <xf numFmtId="0" fontId="2" fillId="0" borderId="0" xfId="0" applyFont="1" applyAlignment="1">
      <alignment horizontal="left" vertical="center" wrapText="1"/>
    </xf>
    <xf numFmtId="0" fontId="3" fillId="3" borderId="0" xfId="0" applyFont="1" applyFill="1" applyAlignment="1">
      <alignment horizontal="center" vertical="center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16" fillId="0" borderId="1" xfId="0" applyFont="1" applyBorder="1" applyAlignment="1">
      <alignment horizontal="center" vertical="center" wrapText="1"/>
    </xf>
    <xf numFmtId="0" fontId="28" fillId="9" borderId="2" xfId="2" applyFill="1" applyBorder="1" applyAlignment="1">
      <alignment horizontal="center" vertical="center" wrapText="1"/>
    </xf>
    <xf numFmtId="0" fontId="28" fillId="0" borderId="17" xfId="2" applyBorder="1"/>
    <xf numFmtId="0" fontId="28" fillId="0" borderId="18" xfId="2" applyBorder="1"/>
    <xf numFmtId="0" fontId="5" fillId="0" borderId="1" xfId="0" applyFont="1" applyFill="1" applyBorder="1"/>
    <xf numFmtId="0" fontId="6" fillId="0" borderId="1" xfId="0" applyFont="1" applyFill="1" applyBorder="1"/>
    <xf numFmtId="0" fontId="7" fillId="0" borderId="1" xfId="0" applyFont="1" applyFill="1" applyBorder="1"/>
    <xf numFmtId="164" fontId="6" fillId="0" borderId="1" xfId="0" applyNumberFormat="1" applyFont="1" applyFill="1" applyBorder="1"/>
    <xf numFmtId="164" fontId="7" fillId="0" borderId="1" xfId="0" applyNumberFormat="1" applyFont="1" applyFill="1" applyBorder="1"/>
    <xf numFmtId="0" fontId="6" fillId="0" borderId="1" xfId="0" applyFont="1" applyFill="1" applyBorder="1" applyAlignment="1">
      <alignment horizontal="center" vertical="center"/>
    </xf>
    <xf numFmtId="0" fontId="0" fillId="0" borderId="0" xfId="0" applyFill="1"/>
    <xf numFmtId="0" fontId="8" fillId="0" borderId="0" xfId="0" applyFont="1" applyFill="1" applyAlignment="1">
      <alignment horizontal="right" vertical="center"/>
    </xf>
    <xf numFmtId="0" fontId="0" fillId="0" borderId="0" xfId="0" applyFill="1"/>
    <xf numFmtId="164" fontId="9" fillId="0" borderId="2" xfId="0" applyNumberFormat="1" applyFont="1" applyFill="1" applyBorder="1"/>
    <xf numFmtId="0" fontId="5" fillId="11" borderId="1" xfId="0" applyFont="1" applyFill="1" applyBorder="1"/>
    <xf numFmtId="0" fontId="6" fillId="11" borderId="1" xfId="0" applyFont="1" applyFill="1" applyBorder="1"/>
    <xf numFmtId="0" fontId="7" fillId="11" borderId="1" xfId="0" applyFont="1" applyFill="1" applyBorder="1"/>
    <xf numFmtId="164" fontId="6" fillId="11" borderId="1" xfId="0" applyNumberFormat="1" applyFont="1" applyFill="1" applyBorder="1"/>
    <xf numFmtId="164" fontId="7" fillId="11" borderId="1" xfId="0" applyNumberFormat="1" applyFont="1" applyFill="1" applyBorder="1"/>
    <xf numFmtId="0" fontId="6" fillId="11" borderId="1" xfId="0" applyFont="1" applyFill="1" applyBorder="1" applyAlignment="1">
      <alignment horizontal="center" vertical="center"/>
    </xf>
    <xf numFmtId="0" fontId="5" fillId="12" borderId="1" xfId="0" applyFont="1" applyFill="1" applyBorder="1"/>
    <xf numFmtId="0" fontId="6" fillId="12" borderId="1" xfId="0" applyFont="1" applyFill="1" applyBorder="1"/>
    <xf numFmtId="0" fontId="7" fillId="12" borderId="1" xfId="0" applyFont="1" applyFill="1" applyBorder="1"/>
    <xf numFmtId="164" fontId="6" fillId="12" borderId="1" xfId="0" applyNumberFormat="1" applyFont="1" applyFill="1" applyBorder="1"/>
    <xf numFmtId="164" fontId="7" fillId="12" borderId="1" xfId="0" applyNumberFormat="1" applyFont="1" applyFill="1" applyBorder="1"/>
    <xf numFmtId="0" fontId="6" fillId="12" borderId="1" xfId="0" applyFont="1" applyFill="1" applyBorder="1" applyAlignment="1">
      <alignment horizontal="center" vertical="center"/>
    </xf>
    <xf numFmtId="0" fontId="5" fillId="13" borderId="1" xfId="0" applyFont="1" applyFill="1" applyBorder="1"/>
    <xf numFmtId="0" fontId="6" fillId="13" borderId="1" xfId="0" applyFont="1" applyFill="1" applyBorder="1"/>
    <xf numFmtId="0" fontId="7" fillId="13" borderId="1" xfId="0" applyFont="1" applyFill="1" applyBorder="1"/>
    <xf numFmtId="164" fontId="6" fillId="13" borderId="1" xfId="0" applyNumberFormat="1" applyFont="1" applyFill="1" applyBorder="1"/>
    <xf numFmtId="164" fontId="7" fillId="13" borderId="1" xfId="0" applyNumberFormat="1" applyFont="1" applyFill="1" applyBorder="1"/>
    <xf numFmtId="0" fontId="6" fillId="13" borderId="1" xfId="0" applyFont="1" applyFill="1" applyBorder="1" applyAlignment="1">
      <alignment horizontal="center" vertical="center"/>
    </xf>
    <xf numFmtId="165" fontId="7" fillId="11" borderId="1" xfId="1" applyNumberFormat="1" applyFont="1" applyFill="1" applyBorder="1"/>
    <xf numFmtId="165" fontId="7" fillId="12" borderId="1" xfId="1" applyNumberFormat="1" applyFont="1" applyFill="1" applyBorder="1"/>
    <xf numFmtId="165" fontId="7" fillId="13" borderId="1" xfId="1" applyNumberFormat="1" applyFont="1" applyFill="1" applyBorder="1"/>
    <xf numFmtId="165" fontId="7" fillId="0" borderId="1" xfId="1" applyNumberFormat="1" applyFont="1" applyFill="1" applyBorder="1"/>
    <xf numFmtId="0" fontId="0" fillId="0" borderId="1" xfId="0" applyBorder="1" applyAlignment="1">
      <alignment wrapText="1"/>
    </xf>
    <xf numFmtId="0" fontId="0" fillId="0" borderId="0" xfId="0" applyBorder="1"/>
    <xf numFmtId="0" fontId="24" fillId="0" borderId="1" xfId="0" applyFont="1" applyBorder="1" applyAlignment="1">
      <alignment horizontal="center" vertical="center"/>
    </xf>
    <xf numFmtId="0" fontId="29" fillId="0" borderId="0" xfId="0" applyFont="1"/>
    <xf numFmtId="0" fontId="24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 wrapText="1"/>
    </xf>
    <xf numFmtId="0" fontId="2" fillId="0" borderId="21" xfId="0" applyFont="1" applyBorder="1" applyAlignment="1">
      <alignment horizontal="left" vertical="center" wrapText="1"/>
    </xf>
  </cellXfs>
  <cellStyles count="3">
    <cellStyle name="Hyperlink" xfId="2" builtinId="8"/>
    <cellStyle name="Normal" xfId="0" builtinId="0"/>
    <cellStyle name="Percent" xfId="1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0"/>
  <sheetViews>
    <sheetView showGridLines="0" tabSelected="1" zoomScale="120" zoomScaleNormal="120" workbookViewId="0">
      <selection activeCell="B18" sqref="B18:B20"/>
    </sheetView>
  </sheetViews>
  <sheetFormatPr defaultRowHeight="15" x14ac:dyDescent="0.25"/>
  <cols>
    <col min="1" max="1" width="28.5703125" customWidth="1"/>
    <col min="2" max="2" width="29" customWidth="1"/>
    <col min="3" max="3" width="27.85546875" customWidth="1"/>
    <col min="4" max="8" width="15" customWidth="1"/>
  </cols>
  <sheetData>
    <row r="1" spans="1:8" ht="35.1" customHeight="1" x14ac:dyDescent="0.25">
      <c r="A1" s="36" t="s">
        <v>127</v>
      </c>
      <c r="B1" s="37"/>
      <c r="C1" s="37"/>
      <c r="D1" s="37"/>
      <c r="E1" s="37"/>
      <c r="F1" s="37"/>
      <c r="G1" s="37"/>
      <c r="H1" s="38"/>
    </row>
    <row r="2" spans="1:8" x14ac:dyDescent="0.25">
      <c r="A2" s="39"/>
      <c r="B2" s="40"/>
      <c r="C2" s="40"/>
      <c r="D2" s="40"/>
      <c r="E2" s="40"/>
      <c r="F2" s="40"/>
      <c r="G2" s="40"/>
      <c r="H2" s="41"/>
    </row>
    <row r="3" spans="1:8" x14ac:dyDescent="0.25">
      <c r="A3" s="34" t="s">
        <v>126</v>
      </c>
      <c r="B3" s="21"/>
      <c r="C3" s="21"/>
      <c r="D3" s="21"/>
      <c r="E3" s="21"/>
      <c r="F3" s="21"/>
      <c r="G3" s="21"/>
      <c r="H3" s="21"/>
    </row>
    <row r="5" spans="1:8" ht="18" x14ac:dyDescent="0.25">
      <c r="A5" s="20" t="s">
        <v>119</v>
      </c>
      <c r="B5" s="21"/>
      <c r="C5" s="21"/>
      <c r="D5" s="21"/>
      <c r="E5" s="21"/>
      <c r="F5" s="21"/>
      <c r="G5" s="21"/>
      <c r="H5" s="21"/>
    </row>
    <row r="6" spans="1:8" ht="60" customHeight="1" x14ac:dyDescent="0.25">
      <c r="A6" s="25" t="s">
        <v>0</v>
      </c>
      <c r="B6" s="26"/>
      <c r="C6" s="26"/>
      <c r="D6" s="26"/>
      <c r="E6" s="26"/>
      <c r="F6" s="26"/>
      <c r="G6" s="26"/>
      <c r="H6" s="27"/>
    </row>
    <row r="7" spans="1:8" x14ac:dyDescent="0.25">
      <c r="A7" s="28"/>
      <c r="B7" s="21"/>
      <c r="C7" s="21"/>
      <c r="D7" s="21"/>
      <c r="E7" s="21"/>
      <c r="F7" s="21"/>
      <c r="G7" s="21"/>
      <c r="H7" s="29"/>
    </row>
    <row r="8" spans="1:8" x14ac:dyDescent="0.25">
      <c r="A8" s="30"/>
      <c r="B8" s="31"/>
      <c r="C8" s="31"/>
      <c r="D8" s="31"/>
      <c r="E8" s="31"/>
      <c r="F8" s="31"/>
      <c r="G8" s="31"/>
      <c r="H8" s="32"/>
    </row>
    <row r="10" spans="1:8" ht="18" x14ac:dyDescent="0.25">
      <c r="A10" s="20" t="s">
        <v>120</v>
      </c>
      <c r="B10" s="21"/>
      <c r="C10" s="21"/>
      <c r="D10" s="21"/>
      <c r="E10" s="21"/>
      <c r="F10" s="21"/>
      <c r="G10" s="21"/>
      <c r="H10" s="21"/>
    </row>
    <row r="11" spans="1:8" x14ac:dyDescent="0.25">
      <c r="A11" s="10" t="s">
        <v>1</v>
      </c>
      <c r="B11" s="35" t="s">
        <v>118</v>
      </c>
      <c r="C11" s="23"/>
      <c r="D11" s="23"/>
      <c r="E11" s="23"/>
      <c r="F11" s="23"/>
      <c r="G11" s="23"/>
      <c r="H11" s="24"/>
    </row>
    <row r="12" spans="1:8" x14ac:dyDescent="0.25">
      <c r="A12" s="10" t="s">
        <v>2</v>
      </c>
      <c r="B12" s="35" t="s">
        <v>3</v>
      </c>
      <c r="C12" s="23"/>
      <c r="D12" s="23"/>
      <c r="E12" s="23"/>
      <c r="F12" s="23"/>
      <c r="G12" s="23"/>
      <c r="H12" s="24"/>
    </row>
    <row r="13" spans="1:8" x14ac:dyDescent="0.25">
      <c r="A13" s="10" t="s">
        <v>4</v>
      </c>
      <c r="B13" s="35" t="s">
        <v>5</v>
      </c>
      <c r="C13" s="23"/>
      <c r="D13" s="23"/>
      <c r="E13" s="23"/>
      <c r="F13" s="23"/>
      <c r="G13" s="23"/>
      <c r="H13" s="24"/>
    </row>
    <row r="14" spans="1:8" x14ac:dyDescent="0.25">
      <c r="A14" s="10" t="s">
        <v>6</v>
      </c>
      <c r="B14" s="35" t="s">
        <v>7</v>
      </c>
      <c r="C14" s="23"/>
      <c r="D14" s="23"/>
      <c r="E14" s="23"/>
      <c r="F14" s="23"/>
      <c r="G14" s="23"/>
      <c r="H14" s="24"/>
    </row>
    <row r="16" spans="1:8" ht="18" x14ac:dyDescent="0.25">
      <c r="A16" s="20" t="s">
        <v>121</v>
      </c>
      <c r="B16" s="21"/>
      <c r="C16" s="21"/>
      <c r="D16" s="21"/>
      <c r="E16" s="21"/>
      <c r="F16" s="21"/>
      <c r="G16" s="21"/>
      <c r="H16" s="21"/>
    </row>
    <row r="17" spans="1:8" ht="30" x14ac:dyDescent="0.25">
      <c r="A17" s="10" t="s">
        <v>8</v>
      </c>
      <c r="B17" s="10" t="s">
        <v>9</v>
      </c>
      <c r="C17" s="10" t="s">
        <v>10</v>
      </c>
    </row>
    <row r="18" spans="1:8" ht="51" customHeight="1" x14ac:dyDescent="0.25">
      <c r="A18" s="58" t="s">
        <v>11</v>
      </c>
      <c r="B18" s="100" t="s">
        <v>122</v>
      </c>
      <c r="C18" s="100" t="s">
        <v>12</v>
      </c>
    </row>
    <row r="19" spans="1:8" ht="51" customHeight="1" x14ac:dyDescent="0.25">
      <c r="A19" s="58" t="s">
        <v>13</v>
      </c>
      <c r="B19" s="101"/>
      <c r="C19" s="101"/>
    </row>
    <row r="20" spans="1:8" ht="51" customHeight="1" x14ac:dyDescent="0.25">
      <c r="A20" s="58" t="s">
        <v>14</v>
      </c>
      <c r="B20" s="102"/>
      <c r="C20" s="102"/>
    </row>
    <row r="21" spans="1:8" ht="25.5" x14ac:dyDescent="0.25">
      <c r="A21" s="58" t="s">
        <v>15</v>
      </c>
      <c r="B21" s="99" t="s">
        <v>16</v>
      </c>
      <c r="C21" s="99" t="s">
        <v>17</v>
      </c>
    </row>
    <row r="22" spans="1:8" ht="38.25" x14ac:dyDescent="0.25">
      <c r="A22" s="58" t="s">
        <v>123</v>
      </c>
      <c r="B22" s="99" t="s">
        <v>129</v>
      </c>
      <c r="C22" s="99" t="s">
        <v>130</v>
      </c>
    </row>
    <row r="24" spans="1:8" ht="18" x14ac:dyDescent="0.25">
      <c r="A24" s="20" t="s">
        <v>131</v>
      </c>
      <c r="B24" s="21"/>
      <c r="C24" s="21"/>
      <c r="D24" s="21"/>
      <c r="E24" s="21"/>
      <c r="F24" s="21"/>
      <c r="G24" s="21"/>
      <c r="H24" s="21"/>
    </row>
    <row r="25" spans="1:8" x14ac:dyDescent="0.25">
      <c r="A25" s="10" t="s">
        <v>18</v>
      </c>
      <c r="B25" s="33" t="s">
        <v>19</v>
      </c>
      <c r="C25" s="23"/>
      <c r="D25" s="23"/>
      <c r="E25" s="23"/>
      <c r="F25" s="23"/>
      <c r="G25" s="23"/>
      <c r="H25" s="24"/>
    </row>
    <row r="26" spans="1:8" x14ac:dyDescent="0.25">
      <c r="A26" s="11" t="s">
        <v>20</v>
      </c>
      <c r="B26" s="22" t="s">
        <v>21</v>
      </c>
      <c r="C26" s="23"/>
      <c r="D26" s="23"/>
      <c r="E26" s="23"/>
      <c r="F26" s="23"/>
      <c r="G26" s="23"/>
      <c r="H26" s="24"/>
    </row>
    <row r="27" spans="1:8" x14ac:dyDescent="0.25">
      <c r="A27" s="12" t="s">
        <v>22</v>
      </c>
      <c r="B27" s="22" t="s">
        <v>23</v>
      </c>
      <c r="C27" s="23"/>
      <c r="D27" s="23"/>
      <c r="E27" s="23"/>
      <c r="F27" s="23"/>
      <c r="G27" s="23"/>
      <c r="H27" s="24"/>
    </row>
    <row r="28" spans="1:8" x14ac:dyDescent="0.25">
      <c r="A28" s="13" t="s">
        <v>24</v>
      </c>
      <c r="B28" s="22" t="s">
        <v>25</v>
      </c>
      <c r="C28" s="23"/>
      <c r="D28" s="23"/>
      <c r="E28" s="23"/>
      <c r="F28" s="23"/>
      <c r="G28" s="23"/>
      <c r="H28" s="24"/>
    </row>
    <row r="29" spans="1:8" ht="25.5" x14ac:dyDescent="0.25">
      <c r="A29" s="14" t="s">
        <v>26</v>
      </c>
      <c r="B29" s="22" t="s">
        <v>27</v>
      </c>
      <c r="C29" s="23"/>
      <c r="D29" s="23"/>
      <c r="E29" s="23"/>
      <c r="F29" s="23"/>
      <c r="G29" s="23"/>
      <c r="H29" s="24"/>
    </row>
    <row r="31" spans="1:8" ht="18" x14ac:dyDescent="0.25">
      <c r="A31" s="20" t="s">
        <v>128</v>
      </c>
      <c r="B31" s="21"/>
      <c r="C31" s="21"/>
      <c r="D31" s="21"/>
      <c r="E31" s="21"/>
      <c r="F31" s="21"/>
      <c r="G31" s="21"/>
      <c r="H31" s="21"/>
    </row>
    <row r="32" spans="1:8" ht="78" customHeight="1" x14ac:dyDescent="0.25">
      <c r="A32" s="25" t="s">
        <v>124</v>
      </c>
      <c r="B32" s="26"/>
      <c r="C32" s="26"/>
      <c r="D32" s="26"/>
      <c r="E32" s="26"/>
      <c r="F32" s="26"/>
      <c r="G32" s="26"/>
      <c r="H32" s="27"/>
    </row>
    <row r="33" spans="1:8" hidden="1" x14ac:dyDescent="0.25">
      <c r="A33" s="28"/>
      <c r="B33" s="21"/>
      <c r="C33" s="21"/>
      <c r="D33" s="21"/>
      <c r="E33" s="21"/>
      <c r="F33" s="21"/>
      <c r="G33" s="21"/>
      <c r="H33" s="29"/>
    </row>
    <row r="34" spans="1:8" hidden="1" x14ac:dyDescent="0.25">
      <c r="A34" s="28"/>
      <c r="B34" s="21"/>
      <c r="C34" s="21"/>
      <c r="D34" s="21"/>
      <c r="E34" s="21"/>
      <c r="F34" s="21"/>
      <c r="G34" s="21"/>
      <c r="H34" s="29"/>
    </row>
    <row r="35" spans="1:8" hidden="1" x14ac:dyDescent="0.25">
      <c r="A35" s="28"/>
      <c r="B35" s="21"/>
      <c r="C35" s="21"/>
      <c r="D35" s="21"/>
      <c r="E35" s="21"/>
      <c r="F35" s="21"/>
      <c r="G35" s="21"/>
      <c r="H35" s="29"/>
    </row>
    <row r="36" spans="1:8" hidden="1" x14ac:dyDescent="0.25">
      <c r="A36" s="30"/>
      <c r="B36" s="31"/>
      <c r="C36" s="31"/>
      <c r="D36" s="31"/>
      <c r="E36" s="31"/>
      <c r="F36" s="31"/>
      <c r="G36" s="31"/>
      <c r="H36" s="32"/>
    </row>
    <row r="38" spans="1:8" hidden="1" x14ac:dyDescent="0.25">
      <c r="A38" s="28"/>
      <c r="B38" s="21"/>
      <c r="C38" s="21"/>
      <c r="D38" s="21"/>
      <c r="E38" s="21"/>
      <c r="F38" s="21"/>
      <c r="G38" s="21"/>
      <c r="H38" s="29"/>
    </row>
    <row r="39" spans="1:8" hidden="1" x14ac:dyDescent="0.25">
      <c r="A39" s="28"/>
      <c r="B39" s="21"/>
      <c r="C39" s="21"/>
      <c r="D39" s="21"/>
      <c r="E39" s="21"/>
      <c r="F39" s="21"/>
      <c r="G39" s="21"/>
      <c r="H39" s="29"/>
    </row>
    <row r="40" spans="1:8" hidden="1" x14ac:dyDescent="0.25">
      <c r="A40" s="30"/>
      <c r="B40" s="31"/>
      <c r="C40" s="31"/>
      <c r="D40" s="31"/>
      <c r="E40" s="31"/>
      <c r="F40" s="31"/>
      <c r="G40" s="31"/>
      <c r="H40" s="32"/>
    </row>
    <row r="41" spans="1:8" ht="18" x14ac:dyDescent="0.25">
      <c r="A41" s="20" t="s">
        <v>148</v>
      </c>
      <c r="B41" s="21"/>
      <c r="C41" s="21"/>
      <c r="D41" s="21"/>
      <c r="E41" s="21"/>
      <c r="F41" s="21"/>
      <c r="G41" s="21"/>
      <c r="H41" s="21"/>
    </row>
    <row r="42" spans="1:8" x14ac:dyDescent="0.25">
      <c r="A42" s="97" t="s">
        <v>132</v>
      </c>
    </row>
    <row r="43" spans="1:8" x14ac:dyDescent="0.25">
      <c r="A43" s="10" t="s">
        <v>133</v>
      </c>
      <c r="B43" s="10" t="s">
        <v>134</v>
      </c>
      <c r="C43" s="10" t="s">
        <v>135</v>
      </c>
      <c r="D43" s="95"/>
    </row>
    <row r="44" spans="1:8" ht="60" x14ac:dyDescent="0.25">
      <c r="A44" s="96" t="s">
        <v>136</v>
      </c>
      <c r="B44" s="94" t="s">
        <v>137</v>
      </c>
      <c r="C44" s="94" t="s">
        <v>138</v>
      </c>
      <c r="D44" s="95"/>
    </row>
    <row r="45" spans="1:8" ht="30" x14ac:dyDescent="0.25">
      <c r="A45" s="96" t="s">
        <v>139</v>
      </c>
      <c r="B45" s="94" t="s">
        <v>140</v>
      </c>
      <c r="C45" s="94" t="s">
        <v>141</v>
      </c>
      <c r="D45" s="95"/>
    </row>
    <row r="46" spans="1:8" ht="30" x14ac:dyDescent="0.25">
      <c r="A46" s="96" t="s">
        <v>142</v>
      </c>
      <c r="B46" s="94" t="s">
        <v>143</v>
      </c>
      <c r="C46" s="94" t="s">
        <v>144</v>
      </c>
      <c r="D46" s="95"/>
    </row>
    <row r="47" spans="1:8" ht="30" x14ac:dyDescent="0.25">
      <c r="A47" s="96" t="s">
        <v>145</v>
      </c>
      <c r="B47" s="94" t="s">
        <v>146</v>
      </c>
      <c r="C47" s="94" t="s">
        <v>147</v>
      </c>
      <c r="D47" s="95"/>
    </row>
    <row r="48" spans="1:8" ht="15.75" thickBot="1" x14ac:dyDescent="0.3"/>
    <row r="49" spans="1:8" ht="16.5" thickTop="1" thickBot="1" x14ac:dyDescent="0.3">
      <c r="A49" s="59" t="s">
        <v>125</v>
      </c>
      <c r="B49" s="60"/>
      <c r="C49" s="60"/>
      <c r="D49" s="60"/>
      <c r="E49" s="60"/>
      <c r="F49" s="60"/>
      <c r="G49" s="60"/>
      <c r="H49" s="61"/>
    </row>
    <row r="50" spans="1:8" ht="15.75" thickTop="1" x14ac:dyDescent="0.25"/>
  </sheetData>
  <mergeCells count="23">
    <mergeCell ref="A41:H41"/>
    <mergeCell ref="A49:H49"/>
    <mergeCell ref="A31:H31"/>
    <mergeCell ref="B28:H28"/>
    <mergeCell ref="C18:C20"/>
    <mergeCell ref="B18:B20"/>
    <mergeCell ref="A1:H2"/>
    <mergeCell ref="B14:H14"/>
    <mergeCell ref="B13:H13"/>
    <mergeCell ref="A10:H10"/>
    <mergeCell ref="B29:H29"/>
    <mergeCell ref="A32:H36"/>
    <mergeCell ref="A3:H3"/>
    <mergeCell ref="B27:H27"/>
    <mergeCell ref="A38:H40"/>
    <mergeCell ref="B12:H12"/>
    <mergeCell ref="A5:H5"/>
    <mergeCell ref="B11:H11"/>
    <mergeCell ref="A24:H24"/>
    <mergeCell ref="B26:H26"/>
    <mergeCell ref="A16:H16"/>
    <mergeCell ref="A6:H8"/>
    <mergeCell ref="B25:H25"/>
  </mergeCells>
  <hyperlinks>
    <hyperlink ref="A49:H49" location="Product_LinearActuator!A1" display="Ready to get started? Click on Product_LinearActuator →" xr:uid="{0405D447-E2A1-44E8-B5E4-E64B2C336BEF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20"/>
  <sheetViews>
    <sheetView showGridLines="0" workbookViewId="0">
      <selection activeCell="C5" sqref="C5"/>
    </sheetView>
  </sheetViews>
  <sheetFormatPr defaultRowHeight="15" x14ac:dyDescent="0.25"/>
  <cols>
    <col min="1" max="1" width="24.140625" customWidth="1"/>
    <col min="2" max="2" width="39.7109375" customWidth="1"/>
    <col min="3" max="3" width="46.140625" customWidth="1"/>
    <col min="4" max="8" width="15" customWidth="1"/>
  </cols>
  <sheetData>
    <row r="1" spans="1:8" ht="18" x14ac:dyDescent="0.25">
      <c r="A1" s="51" t="s">
        <v>76</v>
      </c>
      <c r="B1" s="21"/>
      <c r="C1" s="21"/>
      <c r="D1" s="21"/>
      <c r="E1" s="21"/>
      <c r="F1" s="21"/>
      <c r="G1" s="21"/>
      <c r="H1" s="21"/>
    </row>
    <row r="3" spans="1:8" ht="15.75" x14ac:dyDescent="0.25">
      <c r="A3" s="52" t="s">
        <v>116</v>
      </c>
      <c r="B3" s="21"/>
      <c r="C3" s="21"/>
      <c r="D3" s="21"/>
      <c r="E3" s="21"/>
      <c r="F3" s="21"/>
      <c r="G3" s="21"/>
      <c r="H3" s="21"/>
    </row>
    <row r="4" spans="1:8" x14ac:dyDescent="0.25">
      <c r="A4" s="53" t="s">
        <v>77</v>
      </c>
      <c r="B4" s="21"/>
      <c r="C4" s="21"/>
      <c r="D4" s="21"/>
      <c r="E4" s="21"/>
      <c r="F4" s="21"/>
      <c r="G4" s="21"/>
      <c r="H4" s="21"/>
    </row>
    <row r="6" spans="1:8" x14ac:dyDescent="0.25">
      <c r="A6" s="49" t="s">
        <v>115</v>
      </c>
      <c r="B6" s="21"/>
      <c r="C6" s="21"/>
      <c r="D6" s="21"/>
      <c r="E6" s="21"/>
      <c r="F6" s="21"/>
      <c r="G6" s="21"/>
      <c r="H6" s="21"/>
    </row>
    <row r="7" spans="1:8" x14ac:dyDescent="0.25">
      <c r="A7" s="19" t="s">
        <v>78</v>
      </c>
      <c r="B7" s="48" t="s">
        <v>79</v>
      </c>
      <c r="C7" s="21"/>
      <c r="D7" s="21"/>
      <c r="E7" s="50" t="s">
        <v>80</v>
      </c>
      <c r="F7" s="21"/>
      <c r="G7" s="21"/>
      <c r="H7" s="21"/>
    </row>
    <row r="8" spans="1:8" x14ac:dyDescent="0.25">
      <c r="A8" s="19" t="s">
        <v>81</v>
      </c>
      <c r="B8" s="48" t="s">
        <v>82</v>
      </c>
      <c r="C8" s="21"/>
      <c r="D8" s="21"/>
      <c r="E8" s="50" t="s">
        <v>83</v>
      </c>
      <c r="F8" s="21"/>
      <c r="G8" s="21"/>
      <c r="H8" s="21"/>
    </row>
    <row r="9" spans="1:8" x14ac:dyDescent="0.25">
      <c r="A9" s="19" t="s">
        <v>84</v>
      </c>
      <c r="B9" s="48" t="s">
        <v>85</v>
      </c>
      <c r="C9" s="21"/>
      <c r="D9" s="21"/>
      <c r="E9" s="50" t="s">
        <v>86</v>
      </c>
      <c r="F9" s="21"/>
      <c r="G9" s="21"/>
      <c r="H9" s="21"/>
    </row>
    <row r="10" spans="1:8" x14ac:dyDescent="0.25">
      <c r="A10" s="19" t="s">
        <v>87</v>
      </c>
      <c r="B10" s="48" t="s">
        <v>88</v>
      </c>
      <c r="C10" s="21"/>
      <c r="D10" s="21"/>
      <c r="E10" s="50" t="s">
        <v>89</v>
      </c>
      <c r="F10" s="21"/>
      <c r="G10" s="21"/>
      <c r="H10" s="21"/>
    </row>
    <row r="11" spans="1:8" x14ac:dyDescent="0.25">
      <c r="A11" s="19" t="s">
        <v>90</v>
      </c>
      <c r="B11" s="48" t="s">
        <v>91</v>
      </c>
      <c r="C11" s="21"/>
      <c r="D11" s="21"/>
      <c r="E11" s="50" t="s">
        <v>92</v>
      </c>
      <c r="F11" s="21"/>
      <c r="G11" s="21"/>
      <c r="H11" s="21"/>
    </row>
    <row r="12" spans="1:8" x14ac:dyDescent="0.25">
      <c r="A12" s="19" t="s">
        <v>93</v>
      </c>
      <c r="B12" s="48" t="s">
        <v>94</v>
      </c>
      <c r="C12" s="21"/>
      <c r="D12" s="21"/>
      <c r="E12" s="50" t="s">
        <v>95</v>
      </c>
      <c r="F12" s="21"/>
      <c r="G12" s="21"/>
      <c r="H12" s="21"/>
    </row>
    <row r="13" spans="1:8" x14ac:dyDescent="0.25">
      <c r="A13" s="19" t="s">
        <v>96</v>
      </c>
      <c r="B13" s="48" t="s">
        <v>97</v>
      </c>
      <c r="C13" s="21"/>
      <c r="D13" s="21"/>
      <c r="E13" s="50" t="s">
        <v>98</v>
      </c>
      <c r="F13" s="21"/>
      <c r="G13" s="21"/>
      <c r="H13" s="21"/>
    </row>
    <row r="15" spans="1:8" x14ac:dyDescent="0.25">
      <c r="A15" s="49" t="s">
        <v>114</v>
      </c>
      <c r="B15" s="21"/>
      <c r="C15" s="21"/>
      <c r="D15" s="21"/>
      <c r="E15" s="21"/>
      <c r="F15" s="21"/>
      <c r="G15" s="21"/>
      <c r="H15" s="21"/>
    </row>
    <row r="16" spans="1:8" x14ac:dyDescent="0.25">
      <c r="A16" s="10" t="s">
        <v>133</v>
      </c>
      <c r="B16" s="10" t="s">
        <v>134</v>
      </c>
      <c r="C16" s="10" t="s">
        <v>135</v>
      </c>
    </row>
    <row r="17" spans="1:3" ht="45" x14ac:dyDescent="0.25">
      <c r="A17" s="98" t="s">
        <v>136</v>
      </c>
      <c r="B17" s="94" t="s">
        <v>137</v>
      </c>
      <c r="C17" s="94" t="s">
        <v>138</v>
      </c>
    </row>
    <row r="18" spans="1:3" ht="30" x14ac:dyDescent="0.25">
      <c r="A18" s="98" t="s">
        <v>139</v>
      </c>
      <c r="B18" s="94" t="s">
        <v>140</v>
      </c>
      <c r="C18" s="94" t="s">
        <v>141</v>
      </c>
    </row>
    <row r="19" spans="1:3" ht="30" x14ac:dyDescent="0.25">
      <c r="A19" s="98" t="s">
        <v>142</v>
      </c>
      <c r="B19" s="94" t="s">
        <v>143</v>
      </c>
      <c r="C19" s="94" t="s">
        <v>144</v>
      </c>
    </row>
    <row r="20" spans="1:3" ht="30" x14ac:dyDescent="0.25">
      <c r="A20" s="98" t="s">
        <v>145</v>
      </c>
      <c r="B20" s="94" t="s">
        <v>146</v>
      </c>
      <c r="C20" s="94" t="s">
        <v>147</v>
      </c>
    </row>
  </sheetData>
  <mergeCells count="19">
    <mergeCell ref="A1:H1"/>
    <mergeCell ref="A6:H6"/>
    <mergeCell ref="B10:D10"/>
    <mergeCell ref="E12:H12"/>
    <mergeCell ref="B9:D9"/>
    <mergeCell ref="A3:H3"/>
    <mergeCell ref="E8:H8"/>
    <mergeCell ref="B7:D7"/>
    <mergeCell ref="E10:H10"/>
    <mergeCell ref="E13:H13"/>
    <mergeCell ref="A4:H4"/>
    <mergeCell ref="E9:H9"/>
    <mergeCell ref="B11:D11"/>
    <mergeCell ref="A15:H15"/>
    <mergeCell ref="B8:D8"/>
    <mergeCell ref="B13:D13"/>
    <mergeCell ref="E7:H7"/>
    <mergeCell ref="B12:D12"/>
    <mergeCell ref="E11:H1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3" tint="0.79998168889431442"/>
  </sheetPr>
  <dimension ref="A1:G15"/>
  <sheetViews>
    <sheetView showGridLines="0" workbookViewId="0">
      <selection activeCell="D15" sqref="D15"/>
    </sheetView>
  </sheetViews>
  <sheetFormatPr defaultRowHeight="15" x14ac:dyDescent="0.25"/>
  <cols>
    <col min="1" max="1" width="12" customWidth="1"/>
    <col min="2" max="2" width="30" customWidth="1"/>
    <col min="3" max="3" width="12" customWidth="1"/>
    <col min="4" max="5" width="16" customWidth="1"/>
    <col min="6" max="7" width="18" customWidth="1"/>
  </cols>
  <sheetData>
    <row r="1" spans="1:7" x14ac:dyDescent="0.25">
      <c r="A1" s="1" t="s">
        <v>28</v>
      </c>
      <c r="B1" s="1" t="s">
        <v>29</v>
      </c>
      <c r="C1" s="1" t="s">
        <v>30</v>
      </c>
      <c r="D1" s="1" t="s">
        <v>31</v>
      </c>
      <c r="E1" s="1" t="s">
        <v>32</v>
      </c>
      <c r="F1" s="1" t="s">
        <v>33</v>
      </c>
      <c r="G1" s="1" t="s">
        <v>34</v>
      </c>
    </row>
    <row r="2" spans="1:7" x14ac:dyDescent="0.25">
      <c r="A2" s="2" t="s">
        <v>35</v>
      </c>
      <c r="B2" s="2" t="s">
        <v>36</v>
      </c>
      <c r="C2" s="3">
        <v>45</v>
      </c>
      <c r="D2" s="4">
        <v>7</v>
      </c>
      <c r="E2" s="4">
        <v>1</v>
      </c>
      <c r="F2" s="2">
        <v>10</v>
      </c>
      <c r="G2" s="2">
        <v>25</v>
      </c>
    </row>
    <row r="3" spans="1:7" x14ac:dyDescent="0.25">
      <c r="A3" s="2" t="s">
        <v>37</v>
      </c>
      <c r="B3" s="2" t="s">
        <v>38</v>
      </c>
      <c r="C3" s="3">
        <v>85</v>
      </c>
      <c r="D3" s="4">
        <v>10</v>
      </c>
      <c r="E3" s="4">
        <v>2</v>
      </c>
      <c r="F3" s="2">
        <v>5</v>
      </c>
      <c r="G3" s="2">
        <v>15</v>
      </c>
    </row>
    <row r="4" spans="1:7" x14ac:dyDescent="0.25">
      <c r="A4" s="2" t="s">
        <v>39</v>
      </c>
      <c r="B4" s="2" t="s">
        <v>40</v>
      </c>
      <c r="C4" s="3">
        <v>120</v>
      </c>
      <c r="D4" s="4">
        <v>14</v>
      </c>
      <c r="E4" s="4">
        <v>1</v>
      </c>
      <c r="F4" s="2">
        <v>5</v>
      </c>
      <c r="G4" s="2">
        <v>10</v>
      </c>
    </row>
    <row r="5" spans="1:7" x14ac:dyDescent="0.25">
      <c r="A5" s="2" t="s">
        <v>41</v>
      </c>
      <c r="B5" s="2" t="s">
        <v>42</v>
      </c>
      <c r="C5" s="3">
        <v>12</v>
      </c>
      <c r="D5" s="4">
        <v>5</v>
      </c>
      <c r="E5" s="4">
        <v>5</v>
      </c>
      <c r="F5" s="2">
        <v>20</v>
      </c>
      <c r="G5" s="2">
        <v>50</v>
      </c>
    </row>
    <row r="6" spans="1:7" x14ac:dyDescent="0.25">
      <c r="A6" s="2" t="s">
        <v>43</v>
      </c>
      <c r="B6" s="2" t="s">
        <v>44</v>
      </c>
      <c r="C6" s="3">
        <v>8.5</v>
      </c>
      <c r="D6" s="4">
        <v>3</v>
      </c>
      <c r="E6" s="4">
        <v>10</v>
      </c>
      <c r="F6" s="2">
        <v>50</v>
      </c>
      <c r="G6" s="2">
        <v>100</v>
      </c>
    </row>
    <row r="7" spans="1:7" x14ac:dyDescent="0.25">
      <c r="A7" s="2" t="s">
        <v>45</v>
      </c>
      <c r="B7" s="2" t="s">
        <v>46</v>
      </c>
      <c r="C7" s="3">
        <v>22</v>
      </c>
      <c r="D7" s="4">
        <v>7</v>
      </c>
      <c r="E7" s="4">
        <v>2</v>
      </c>
      <c r="F7" s="2">
        <v>10</v>
      </c>
      <c r="G7" s="2">
        <v>30</v>
      </c>
    </row>
    <row r="8" spans="1:7" x14ac:dyDescent="0.25">
      <c r="A8" s="2" t="s">
        <v>47</v>
      </c>
      <c r="B8" s="2" t="s">
        <v>48</v>
      </c>
      <c r="C8" s="3">
        <v>4.5</v>
      </c>
      <c r="D8" s="4">
        <v>5</v>
      </c>
      <c r="E8" s="4">
        <v>10</v>
      </c>
      <c r="F8" s="2">
        <v>50</v>
      </c>
      <c r="G8" s="2">
        <v>100</v>
      </c>
    </row>
    <row r="9" spans="1:7" x14ac:dyDescent="0.25">
      <c r="A9" s="2" t="s">
        <v>49</v>
      </c>
      <c r="B9" s="2" t="s">
        <v>50</v>
      </c>
      <c r="C9" s="3">
        <v>15</v>
      </c>
      <c r="D9" s="4">
        <v>3</v>
      </c>
      <c r="E9" s="4">
        <v>1</v>
      </c>
      <c r="F9" s="2">
        <v>10</v>
      </c>
      <c r="G9" s="2">
        <v>25</v>
      </c>
    </row>
    <row r="10" spans="1:7" x14ac:dyDescent="0.25">
      <c r="A10" s="2" t="s">
        <v>51</v>
      </c>
      <c r="B10" s="2" t="s">
        <v>52</v>
      </c>
      <c r="C10" s="3">
        <v>65</v>
      </c>
      <c r="D10" s="4">
        <v>10</v>
      </c>
      <c r="E10" s="4">
        <v>1</v>
      </c>
      <c r="F10" s="2">
        <v>5</v>
      </c>
      <c r="G10" s="2">
        <v>15</v>
      </c>
    </row>
    <row r="11" spans="1:7" x14ac:dyDescent="0.25">
      <c r="A11" s="2" t="s">
        <v>53</v>
      </c>
      <c r="B11" s="2" t="s">
        <v>54</v>
      </c>
      <c r="C11" s="3">
        <v>35</v>
      </c>
      <c r="D11" s="4">
        <v>7</v>
      </c>
      <c r="E11" s="4">
        <v>1</v>
      </c>
      <c r="F11" s="2">
        <v>10</v>
      </c>
      <c r="G11" s="2">
        <v>20</v>
      </c>
    </row>
    <row r="12" spans="1:7" x14ac:dyDescent="0.25">
      <c r="A12" s="2" t="s">
        <v>55</v>
      </c>
      <c r="B12" s="2" t="s">
        <v>56</v>
      </c>
      <c r="C12" s="3">
        <v>18</v>
      </c>
      <c r="D12" s="4">
        <v>5</v>
      </c>
      <c r="E12" s="4">
        <v>2</v>
      </c>
      <c r="F12" s="2">
        <v>20</v>
      </c>
      <c r="G12" s="2">
        <v>50</v>
      </c>
    </row>
    <row r="13" spans="1:7" x14ac:dyDescent="0.25">
      <c r="A13" s="2" t="s">
        <v>57</v>
      </c>
      <c r="B13" s="2" t="s">
        <v>58</v>
      </c>
      <c r="C13" s="3">
        <v>55</v>
      </c>
      <c r="D13" s="4">
        <v>14</v>
      </c>
      <c r="E13" s="4">
        <v>2</v>
      </c>
      <c r="F13" s="2">
        <v>10</v>
      </c>
      <c r="G13" s="2">
        <v>20</v>
      </c>
    </row>
    <row r="14" spans="1:7" x14ac:dyDescent="0.25">
      <c r="A14" s="2" t="s">
        <v>59</v>
      </c>
      <c r="B14" s="2" t="s">
        <v>60</v>
      </c>
      <c r="C14" s="3">
        <v>6.5</v>
      </c>
      <c r="D14" s="4">
        <v>5</v>
      </c>
      <c r="E14" s="4">
        <v>10</v>
      </c>
      <c r="F14" s="2">
        <v>40</v>
      </c>
      <c r="G14" s="2">
        <v>100</v>
      </c>
    </row>
    <row r="15" spans="1:7" x14ac:dyDescent="0.25">
      <c r="A15" s="2" t="s">
        <v>61</v>
      </c>
      <c r="B15" s="2" t="s">
        <v>62</v>
      </c>
      <c r="C15" s="3">
        <v>12</v>
      </c>
      <c r="D15" s="4">
        <v>5</v>
      </c>
      <c r="E15" s="4">
        <v>5</v>
      </c>
      <c r="F15" s="2">
        <v>20</v>
      </c>
      <c r="G15" s="2">
        <v>50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3" tint="0.79998168889431442"/>
  </sheetPr>
  <dimension ref="A1:G15"/>
  <sheetViews>
    <sheetView showGridLines="0" workbookViewId="0">
      <selection activeCell="E23" sqref="E23"/>
    </sheetView>
  </sheetViews>
  <sheetFormatPr defaultRowHeight="15" x14ac:dyDescent="0.25"/>
  <cols>
    <col min="1" max="1" width="12" customWidth="1"/>
    <col min="2" max="2" width="30" customWidth="1"/>
    <col min="3" max="3" width="12" customWidth="1"/>
    <col min="4" max="5" width="16" customWidth="1"/>
    <col min="6" max="7" width="18" customWidth="1"/>
  </cols>
  <sheetData>
    <row r="1" spans="1:7" x14ac:dyDescent="0.25">
      <c r="A1" s="1" t="s">
        <v>28</v>
      </c>
      <c r="B1" s="1" t="s">
        <v>29</v>
      </c>
      <c r="C1" s="1" t="s">
        <v>30</v>
      </c>
      <c r="D1" s="1" t="s">
        <v>31</v>
      </c>
      <c r="E1" s="1" t="s">
        <v>32</v>
      </c>
      <c r="F1" s="1" t="s">
        <v>33</v>
      </c>
      <c r="G1" s="1" t="s">
        <v>34</v>
      </c>
    </row>
    <row r="2" spans="1:7" x14ac:dyDescent="0.25">
      <c r="A2" s="2" t="s">
        <v>35</v>
      </c>
      <c r="B2" s="2" t="s">
        <v>36</v>
      </c>
      <c r="C2" s="3">
        <v>42</v>
      </c>
      <c r="D2" s="4">
        <v>5</v>
      </c>
      <c r="E2" s="4">
        <v>1</v>
      </c>
      <c r="F2" s="2">
        <v>15</v>
      </c>
      <c r="G2" s="2">
        <v>30</v>
      </c>
    </row>
    <row r="3" spans="1:7" x14ac:dyDescent="0.25">
      <c r="A3" s="2" t="s">
        <v>37</v>
      </c>
      <c r="B3" s="2" t="s">
        <v>38</v>
      </c>
      <c r="C3" s="3">
        <v>90</v>
      </c>
      <c r="D3" s="4">
        <v>12</v>
      </c>
      <c r="E3" s="4">
        <v>1</v>
      </c>
      <c r="F3" s="2">
        <v>8</v>
      </c>
      <c r="G3" s="2">
        <v>20</v>
      </c>
    </row>
    <row r="4" spans="1:7" x14ac:dyDescent="0.25">
      <c r="A4" s="2" t="s">
        <v>39</v>
      </c>
      <c r="B4" s="2" t="s">
        <v>40</v>
      </c>
      <c r="C4" s="3">
        <v>115</v>
      </c>
      <c r="D4" s="4">
        <v>10</v>
      </c>
      <c r="E4" s="4">
        <v>1</v>
      </c>
      <c r="F4" s="2">
        <v>8</v>
      </c>
      <c r="G4" s="2">
        <v>15</v>
      </c>
    </row>
    <row r="5" spans="1:7" x14ac:dyDescent="0.25">
      <c r="A5" s="2" t="s">
        <v>41</v>
      </c>
      <c r="B5" s="2" t="s">
        <v>42</v>
      </c>
      <c r="C5" s="3">
        <v>11.5</v>
      </c>
      <c r="D5" s="4">
        <v>7</v>
      </c>
      <c r="E5" s="4">
        <v>10</v>
      </c>
      <c r="F5" s="2">
        <v>30</v>
      </c>
      <c r="G5" s="2">
        <v>75</v>
      </c>
    </row>
    <row r="6" spans="1:7" x14ac:dyDescent="0.25">
      <c r="A6" s="2" t="s">
        <v>43</v>
      </c>
      <c r="B6" s="2" t="s">
        <v>44</v>
      </c>
      <c r="C6" s="3">
        <v>9</v>
      </c>
      <c r="D6" s="4">
        <v>5</v>
      </c>
      <c r="E6" s="4">
        <v>5</v>
      </c>
      <c r="F6" s="2">
        <v>40</v>
      </c>
      <c r="G6" s="2">
        <v>80</v>
      </c>
    </row>
    <row r="7" spans="1:7" x14ac:dyDescent="0.25">
      <c r="A7" s="2" t="s">
        <v>47</v>
      </c>
      <c r="B7" s="2" t="s">
        <v>48</v>
      </c>
      <c r="C7" s="3">
        <v>4</v>
      </c>
      <c r="D7" s="4">
        <v>3</v>
      </c>
      <c r="E7" s="4">
        <v>20</v>
      </c>
      <c r="F7" s="2">
        <v>60</v>
      </c>
      <c r="G7" s="2">
        <v>150</v>
      </c>
    </row>
    <row r="8" spans="1:7" x14ac:dyDescent="0.25">
      <c r="A8" s="2" t="s">
        <v>49</v>
      </c>
      <c r="B8" s="2" t="s">
        <v>50</v>
      </c>
      <c r="C8" s="3">
        <v>13.5</v>
      </c>
      <c r="D8" s="4">
        <v>5</v>
      </c>
      <c r="E8" s="4">
        <v>2</v>
      </c>
      <c r="F8" s="2">
        <v>15</v>
      </c>
      <c r="G8" s="2">
        <v>35</v>
      </c>
    </row>
    <row r="9" spans="1:7" x14ac:dyDescent="0.25">
      <c r="A9" s="2" t="s">
        <v>51</v>
      </c>
      <c r="B9" s="2" t="s">
        <v>52</v>
      </c>
      <c r="C9" s="3">
        <v>68</v>
      </c>
      <c r="D9" s="4">
        <v>8</v>
      </c>
      <c r="E9" s="4">
        <v>1</v>
      </c>
      <c r="F9" s="2">
        <v>8</v>
      </c>
      <c r="G9" s="2">
        <v>20</v>
      </c>
    </row>
    <row r="10" spans="1:7" x14ac:dyDescent="0.25">
      <c r="A10" s="2" t="s">
        <v>53</v>
      </c>
      <c r="B10" s="2" t="s">
        <v>54</v>
      </c>
      <c r="C10" s="3">
        <v>32</v>
      </c>
      <c r="D10" s="4">
        <v>5</v>
      </c>
      <c r="E10" s="4">
        <v>2</v>
      </c>
      <c r="F10" s="2">
        <v>15</v>
      </c>
      <c r="G10" s="2">
        <v>30</v>
      </c>
    </row>
    <row r="11" spans="1:7" x14ac:dyDescent="0.25">
      <c r="A11" s="2" t="s">
        <v>55</v>
      </c>
      <c r="B11" s="2" t="s">
        <v>56</v>
      </c>
      <c r="C11" s="3">
        <v>16.5</v>
      </c>
      <c r="D11" s="4">
        <v>7</v>
      </c>
      <c r="E11" s="4">
        <v>5</v>
      </c>
      <c r="F11" s="2">
        <v>25</v>
      </c>
      <c r="G11" s="2">
        <v>60</v>
      </c>
    </row>
    <row r="12" spans="1:7" x14ac:dyDescent="0.25">
      <c r="A12" s="2" t="s">
        <v>57</v>
      </c>
      <c r="B12" s="2" t="s">
        <v>58</v>
      </c>
      <c r="C12" s="3">
        <v>58</v>
      </c>
      <c r="D12" s="4">
        <v>12</v>
      </c>
      <c r="E12" s="4">
        <v>4</v>
      </c>
      <c r="F12" s="2">
        <v>12</v>
      </c>
      <c r="G12" s="2">
        <v>25</v>
      </c>
    </row>
    <row r="13" spans="1:7" x14ac:dyDescent="0.25">
      <c r="A13" s="2" t="s">
        <v>59</v>
      </c>
      <c r="B13" s="2" t="s">
        <v>60</v>
      </c>
      <c r="C13" s="3">
        <v>5.8</v>
      </c>
      <c r="D13" s="4">
        <v>7</v>
      </c>
      <c r="E13" s="4">
        <v>15</v>
      </c>
      <c r="F13" s="2">
        <v>50</v>
      </c>
      <c r="G13" s="2">
        <v>120</v>
      </c>
    </row>
    <row r="14" spans="1:7" x14ac:dyDescent="0.25">
      <c r="A14" s="2" t="s">
        <v>99</v>
      </c>
      <c r="B14" s="2" t="s">
        <v>100</v>
      </c>
      <c r="C14" s="3">
        <v>28</v>
      </c>
      <c r="D14" s="4">
        <v>10</v>
      </c>
      <c r="E14" s="4">
        <v>2</v>
      </c>
      <c r="F14" s="2">
        <v>10</v>
      </c>
      <c r="G14" s="2">
        <v>25</v>
      </c>
    </row>
    <row r="15" spans="1:7" x14ac:dyDescent="0.25">
      <c r="A15" s="2" t="s">
        <v>101</v>
      </c>
      <c r="B15" s="2" t="s">
        <v>102</v>
      </c>
      <c r="C15" s="3">
        <v>42</v>
      </c>
      <c r="D15" s="4">
        <v>14</v>
      </c>
      <c r="E15" s="4">
        <v>1</v>
      </c>
      <c r="F15" s="2">
        <v>5</v>
      </c>
      <c r="G15" s="2">
        <v>15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3" tint="0.79998168889431442"/>
  </sheetPr>
  <dimension ref="A1:G15"/>
  <sheetViews>
    <sheetView showGridLines="0" workbookViewId="0">
      <selection activeCell="E23" sqref="E23"/>
    </sheetView>
  </sheetViews>
  <sheetFormatPr defaultRowHeight="15" x14ac:dyDescent="0.25"/>
  <cols>
    <col min="1" max="1" width="12" customWidth="1"/>
    <col min="2" max="2" width="30" customWidth="1"/>
    <col min="3" max="3" width="12" customWidth="1"/>
    <col min="4" max="5" width="16" customWidth="1"/>
    <col min="6" max="7" width="18" customWidth="1"/>
  </cols>
  <sheetData>
    <row r="1" spans="1:7" x14ac:dyDescent="0.25">
      <c r="A1" s="1" t="s">
        <v>28</v>
      </c>
      <c r="B1" s="1" t="s">
        <v>29</v>
      </c>
      <c r="C1" s="1" t="s">
        <v>30</v>
      </c>
      <c r="D1" s="1" t="s">
        <v>31</v>
      </c>
      <c r="E1" s="1" t="s">
        <v>32</v>
      </c>
      <c r="F1" s="1" t="s">
        <v>33</v>
      </c>
      <c r="G1" s="1" t="s">
        <v>34</v>
      </c>
    </row>
    <row r="2" spans="1:7" x14ac:dyDescent="0.25">
      <c r="A2" s="2" t="s">
        <v>35</v>
      </c>
      <c r="B2" s="2" t="s">
        <v>36</v>
      </c>
      <c r="C2" s="3">
        <v>48</v>
      </c>
      <c r="D2" s="4">
        <v>10</v>
      </c>
      <c r="E2" s="4">
        <v>2</v>
      </c>
      <c r="F2" s="2">
        <v>8</v>
      </c>
      <c r="G2" s="2">
        <v>20</v>
      </c>
    </row>
    <row r="3" spans="1:7" x14ac:dyDescent="0.25">
      <c r="A3" s="2" t="s">
        <v>37</v>
      </c>
      <c r="B3" s="2" t="s">
        <v>38</v>
      </c>
      <c r="C3" s="3">
        <v>82</v>
      </c>
      <c r="D3" s="4">
        <v>8</v>
      </c>
      <c r="E3" s="4">
        <v>2</v>
      </c>
      <c r="F3" s="2">
        <v>10</v>
      </c>
      <c r="G3" s="2">
        <v>25</v>
      </c>
    </row>
    <row r="4" spans="1:7" x14ac:dyDescent="0.25">
      <c r="A4" s="2" t="s">
        <v>39</v>
      </c>
      <c r="B4" s="2" t="s">
        <v>40</v>
      </c>
      <c r="C4" s="3">
        <v>125</v>
      </c>
      <c r="D4" s="4">
        <v>15</v>
      </c>
      <c r="E4" s="4">
        <v>1</v>
      </c>
      <c r="F4" s="2">
        <v>5</v>
      </c>
      <c r="G4" s="2">
        <v>12</v>
      </c>
    </row>
    <row r="5" spans="1:7" x14ac:dyDescent="0.25">
      <c r="A5" s="2" t="s">
        <v>45</v>
      </c>
      <c r="B5" s="2" t="s">
        <v>46</v>
      </c>
      <c r="C5" s="3">
        <v>20</v>
      </c>
      <c r="D5" s="4">
        <v>5</v>
      </c>
      <c r="E5" s="4">
        <v>5</v>
      </c>
      <c r="F5" s="2">
        <v>15</v>
      </c>
      <c r="G5" s="2">
        <v>40</v>
      </c>
    </row>
    <row r="6" spans="1:7" x14ac:dyDescent="0.25">
      <c r="A6" s="2" t="s">
        <v>47</v>
      </c>
      <c r="B6" s="2" t="s">
        <v>48</v>
      </c>
      <c r="C6" s="3">
        <v>4.8</v>
      </c>
      <c r="D6" s="4">
        <v>7</v>
      </c>
      <c r="E6" s="4">
        <v>8</v>
      </c>
      <c r="F6" s="2">
        <v>45</v>
      </c>
      <c r="G6" s="2">
        <v>120</v>
      </c>
    </row>
    <row r="7" spans="1:7" x14ac:dyDescent="0.25">
      <c r="A7" s="2" t="s">
        <v>49</v>
      </c>
      <c r="B7" s="2" t="s">
        <v>50</v>
      </c>
      <c r="C7" s="3">
        <v>14</v>
      </c>
      <c r="D7" s="4">
        <v>4</v>
      </c>
      <c r="E7" s="4">
        <v>3</v>
      </c>
      <c r="F7" s="2">
        <v>12</v>
      </c>
      <c r="G7" s="2">
        <v>30</v>
      </c>
    </row>
    <row r="8" spans="1:7" x14ac:dyDescent="0.25">
      <c r="A8" s="2" t="s">
        <v>51</v>
      </c>
      <c r="B8" s="2" t="s">
        <v>52</v>
      </c>
      <c r="C8" s="3">
        <v>62</v>
      </c>
      <c r="D8" s="4">
        <v>12</v>
      </c>
      <c r="E8" s="4">
        <v>1</v>
      </c>
      <c r="F8" s="2">
        <v>10</v>
      </c>
      <c r="G8" s="2">
        <v>25</v>
      </c>
    </row>
    <row r="9" spans="1:7" x14ac:dyDescent="0.25">
      <c r="A9" s="2" t="s">
        <v>53</v>
      </c>
      <c r="B9" s="2" t="s">
        <v>54</v>
      </c>
      <c r="C9" s="3">
        <v>38</v>
      </c>
      <c r="D9" s="4">
        <v>8</v>
      </c>
      <c r="E9" s="4">
        <v>1</v>
      </c>
      <c r="F9" s="2">
        <v>8</v>
      </c>
      <c r="G9" s="2">
        <v>18</v>
      </c>
    </row>
    <row r="10" spans="1:7" x14ac:dyDescent="0.25">
      <c r="A10" s="2" t="s">
        <v>55</v>
      </c>
      <c r="B10" s="2" t="s">
        <v>56</v>
      </c>
      <c r="C10" s="3">
        <v>17.5</v>
      </c>
      <c r="D10" s="4">
        <v>6</v>
      </c>
      <c r="E10" s="4">
        <v>3</v>
      </c>
      <c r="F10" s="2">
        <v>18</v>
      </c>
      <c r="G10" s="2">
        <v>45</v>
      </c>
    </row>
    <row r="11" spans="1:7" x14ac:dyDescent="0.25">
      <c r="A11" s="2" t="s">
        <v>57</v>
      </c>
      <c r="B11" s="2" t="s">
        <v>58</v>
      </c>
      <c r="C11" s="3">
        <v>52</v>
      </c>
      <c r="D11" s="4">
        <v>10</v>
      </c>
      <c r="E11" s="4">
        <v>2</v>
      </c>
      <c r="F11" s="2">
        <v>15</v>
      </c>
      <c r="G11" s="2">
        <v>30</v>
      </c>
    </row>
    <row r="12" spans="1:7" x14ac:dyDescent="0.25">
      <c r="A12" s="2" t="s">
        <v>59</v>
      </c>
      <c r="B12" s="2" t="s">
        <v>60</v>
      </c>
      <c r="C12" s="3">
        <v>6</v>
      </c>
      <c r="D12" s="4">
        <v>4</v>
      </c>
      <c r="E12" s="4">
        <v>12</v>
      </c>
      <c r="F12" s="2">
        <v>55</v>
      </c>
      <c r="G12" s="2">
        <v>130</v>
      </c>
    </row>
    <row r="13" spans="1:7" x14ac:dyDescent="0.25">
      <c r="A13" s="2" t="s">
        <v>61</v>
      </c>
      <c r="B13" s="2" t="s">
        <v>62</v>
      </c>
      <c r="C13" s="3">
        <v>11</v>
      </c>
      <c r="D13" s="4">
        <v>6</v>
      </c>
      <c r="E13" s="4">
        <v>8</v>
      </c>
      <c r="F13" s="2">
        <v>25</v>
      </c>
      <c r="G13" s="2">
        <v>60</v>
      </c>
    </row>
    <row r="14" spans="1:7" x14ac:dyDescent="0.25">
      <c r="A14" s="2" t="s">
        <v>99</v>
      </c>
      <c r="B14" s="2" t="s">
        <v>100</v>
      </c>
      <c r="C14" s="3">
        <v>26</v>
      </c>
      <c r="D14" s="4">
        <v>8</v>
      </c>
      <c r="E14" s="4">
        <v>3</v>
      </c>
      <c r="F14" s="2">
        <v>12</v>
      </c>
      <c r="G14" s="2">
        <v>28</v>
      </c>
    </row>
    <row r="15" spans="1:7" x14ac:dyDescent="0.25">
      <c r="A15" s="2" t="s">
        <v>103</v>
      </c>
      <c r="B15" s="2" t="s">
        <v>104</v>
      </c>
      <c r="C15" s="3">
        <v>34</v>
      </c>
      <c r="D15" s="4">
        <v>9</v>
      </c>
      <c r="E15" s="4">
        <v>2</v>
      </c>
      <c r="F15" s="2">
        <v>8</v>
      </c>
      <c r="G15" s="2">
        <v>20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5" tint="0.39997558519241921"/>
  </sheetPr>
  <dimension ref="A1:K17"/>
  <sheetViews>
    <sheetView showGridLines="0" workbookViewId="0">
      <selection activeCell="E20" sqref="E20"/>
    </sheetView>
  </sheetViews>
  <sheetFormatPr defaultRowHeight="15" x14ac:dyDescent="0.25"/>
  <cols>
    <col min="1" max="1" width="12" customWidth="1"/>
    <col min="2" max="2" width="30" customWidth="1"/>
    <col min="3" max="4" width="16" customWidth="1"/>
    <col min="5" max="7" width="12" customWidth="1"/>
    <col min="8" max="8" width="16" customWidth="1"/>
    <col min="9" max="9" width="14" customWidth="1"/>
    <col min="10" max="10" width="18.42578125" bestFit="1" customWidth="1"/>
  </cols>
  <sheetData>
    <row r="1" spans="1:11" ht="18" x14ac:dyDescent="0.25">
      <c r="A1" s="54" t="s">
        <v>105</v>
      </c>
      <c r="B1" s="21"/>
      <c r="C1" s="21"/>
      <c r="D1" s="21"/>
      <c r="E1" s="21"/>
      <c r="F1" s="21"/>
      <c r="G1" s="21"/>
      <c r="H1" s="21"/>
      <c r="I1" s="21"/>
      <c r="J1" s="21"/>
    </row>
    <row r="2" spans="1:11" x14ac:dyDescent="0.25">
      <c r="H2" s="5" t="s">
        <v>106</v>
      </c>
      <c r="I2" s="6">
        <v>4</v>
      </c>
    </row>
    <row r="3" spans="1:11" x14ac:dyDescent="0.25">
      <c r="A3" s="1" t="s">
        <v>28</v>
      </c>
      <c r="B3" s="1" t="s">
        <v>29</v>
      </c>
      <c r="C3" s="1" t="s">
        <v>107</v>
      </c>
      <c r="D3" s="1" t="s">
        <v>108</v>
      </c>
      <c r="E3" s="1" t="s">
        <v>109</v>
      </c>
      <c r="F3" s="1" t="s">
        <v>30</v>
      </c>
      <c r="G3" s="1" t="s">
        <v>110</v>
      </c>
      <c r="H3" s="1" t="s">
        <v>111</v>
      </c>
      <c r="I3" s="1" t="s">
        <v>112</v>
      </c>
      <c r="J3" s="1" t="s">
        <v>31</v>
      </c>
    </row>
    <row r="4" spans="1:11" x14ac:dyDescent="0.25">
      <c r="A4" s="78" t="s">
        <v>35</v>
      </c>
      <c r="B4" s="79" t="str">
        <f t="shared" ref="B4:B14" ca="1" si="0">IFERROR(INDEX(INDIRECT(C4&amp;"!B:B"),MATCH(A4,INDIRECT(C4&amp;"!A:A"),0)),"")</f>
        <v>Stepper Motor NEMA 23</v>
      </c>
      <c r="C4" s="78" t="s">
        <v>13</v>
      </c>
      <c r="D4" s="78">
        <v>3</v>
      </c>
      <c r="E4" s="80">
        <f t="shared" ref="E4:E14" si="1">D4*$I$2</f>
        <v>12</v>
      </c>
      <c r="F4" s="81">
        <f ca="1">IFERROR(INDEX(INDIRECT(C4&amp;"!C:C"),MATCH(A4,INDIRECT(C4&amp;"!A:A"),0)),0)</f>
        <v>42</v>
      </c>
      <c r="G4" s="91">
        <f t="shared" ref="G4:G14" ca="1" si="2">IF(E4&gt;=IFERROR(INDEX(INDIRECT(C4&amp;"!G:G"),MATCH(A4,INDIRECT(C4&amp;"!A:A"),0)),999999),15%,IF(E4&gt;=IFERROR(INDEX(INDIRECT(C4&amp;"!F:F"),MATCH(A4,INDIRECT(C4&amp;"!A:A"),0)),999999),10%,0%))</f>
        <v>0</v>
      </c>
      <c r="H4" s="82">
        <f ca="1">F4*(1-G4)</f>
        <v>42</v>
      </c>
      <c r="I4" s="82">
        <f t="shared" ref="I4:I14" ca="1" si="3">E4*H4</f>
        <v>504</v>
      </c>
      <c r="J4" s="83">
        <f t="shared" ref="J4:J14" ca="1" si="4">IFERROR(INDEX(INDIRECT(C4&amp;"!D:D"),MATCH(A4,INDIRECT(C4&amp;"!A:A"),0)),"")</f>
        <v>5</v>
      </c>
      <c r="K4" s="68"/>
    </row>
    <row r="5" spans="1:11" x14ac:dyDescent="0.25">
      <c r="A5" s="72" t="s">
        <v>37</v>
      </c>
      <c r="B5" s="73" t="str">
        <f t="shared" ca="1" si="0"/>
        <v>Linear Guide Rail 500mm</v>
      </c>
      <c r="C5" s="72" t="s">
        <v>14</v>
      </c>
      <c r="D5" s="72">
        <v>2</v>
      </c>
      <c r="E5" s="74">
        <f t="shared" si="1"/>
        <v>8</v>
      </c>
      <c r="F5" s="75">
        <f t="shared" ref="F5:F14" ca="1" si="5">IFERROR(INDEX(INDIRECT(C5&amp;"!C:C"),MATCH(A5,INDIRECT(C5&amp;"!A:A"),0)),0)</f>
        <v>82</v>
      </c>
      <c r="G5" s="90">
        <f t="shared" ca="1" si="2"/>
        <v>0</v>
      </c>
      <c r="H5" s="76">
        <f t="shared" ref="H5:H14" ca="1" si="6">F5*(1-G5)</f>
        <v>82</v>
      </c>
      <c r="I5" s="76">
        <f t="shared" ca="1" si="3"/>
        <v>656</v>
      </c>
      <c r="J5" s="77">
        <f t="shared" ca="1" si="4"/>
        <v>8</v>
      </c>
      <c r="K5" s="68"/>
    </row>
    <row r="6" spans="1:11" x14ac:dyDescent="0.25">
      <c r="A6" s="84" t="s">
        <v>39</v>
      </c>
      <c r="B6" s="85" t="str">
        <f t="shared" ca="1" si="0"/>
        <v>Ball Screw Assembly</v>
      </c>
      <c r="C6" s="84" t="s">
        <v>13</v>
      </c>
      <c r="D6" s="84">
        <v>1</v>
      </c>
      <c r="E6" s="86">
        <f t="shared" si="1"/>
        <v>4</v>
      </c>
      <c r="F6" s="87">
        <f t="shared" ca="1" si="5"/>
        <v>115</v>
      </c>
      <c r="G6" s="92">
        <f t="shared" ca="1" si="2"/>
        <v>0</v>
      </c>
      <c r="H6" s="88">
        <f t="shared" ca="1" si="6"/>
        <v>115</v>
      </c>
      <c r="I6" s="88">
        <f t="shared" ca="1" si="3"/>
        <v>460</v>
      </c>
      <c r="J6" s="89">
        <f t="shared" ca="1" si="4"/>
        <v>10</v>
      </c>
      <c r="K6" s="68"/>
    </row>
    <row r="7" spans="1:11" x14ac:dyDescent="0.25">
      <c r="A7" s="62" t="s">
        <v>41</v>
      </c>
      <c r="B7" s="63" t="str">
        <f t="shared" ca="1" si="0"/>
        <v>Motor Coupling 8mm</v>
      </c>
      <c r="C7" s="62" t="s">
        <v>13</v>
      </c>
      <c r="D7" s="62">
        <v>1</v>
      </c>
      <c r="E7" s="64">
        <f t="shared" si="1"/>
        <v>4</v>
      </c>
      <c r="F7" s="65">
        <f t="shared" ca="1" si="5"/>
        <v>11.5</v>
      </c>
      <c r="G7" s="93">
        <f t="shared" ca="1" si="2"/>
        <v>0</v>
      </c>
      <c r="H7" s="66">
        <f t="shared" ca="1" si="6"/>
        <v>11.5</v>
      </c>
      <c r="I7" s="66">
        <f t="shared" ca="1" si="3"/>
        <v>46</v>
      </c>
      <c r="J7" s="67">
        <f t="shared" ca="1" si="4"/>
        <v>7</v>
      </c>
      <c r="K7" s="68"/>
    </row>
    <row r="8" spans="1:11" x14ac:dyDescent="0.25">
      <c r="A8" s="62" t="s">
        <v>43</v>
      </c>
      <c r="B8" s="63" t="str">
        <f t="shared" ca="1" si="0"/>
        <v>Limit Switch (Roller)</v>
      </c>
      <c r="C8" s="62" t="s">
        <v>11</v>
      </c>
      <c r="D8" s="62">
        <v>2</v>
      </c>
      <c r="E8" s="64">
        <f t="shared" si="1"/>
        <v>8</v>
      </c>
      <c r="F8" s="65">
        <f t="shared" ca="1" si="5"/>
        <v>8.5</v>
      </c>
      <c r="G8" s="93">
        <f t="shared" ca="1" si="2"/>
        <v>0</v>
      </c>
      <c r="H8" s="66">
        <f t="shared" ca="1" si="6"/>
        <v>8.5</v>
      </c>
      <c r="I8" s="66">
        <f t="shared" ca="1" si="3"/>
        <v>68</v>
      </c>
      <c r="J8" s="67">
        <f t="shared" ca="1" si="4"/>
        <v>3</v>
      </c>
      <c r="K8" s="68"/>
    </row>
    <row r="9" spans="1:11" x14ac:dyDescent="0.25">
      <c r="A9" s="62" t="s">
        <v>45</v>
      </c>
      <c r="B9" s="63" t="str">
        <f t="shared" ca="1" si="0"/>
        <v>Aluminum Mounting Bracket</v>
      </c>
      <c r="C9" s="62" t="s">
        <v>14</v>
      </c>
      <c r="D9" s="62">
        <v>4</v>
      </c>
      <c r="E9" s="64">
        <f t="shared" si="1"/>
        <v>16</v>
      </c>
      <c r="F9" s="65">
        <f t="shared" ca="1" si="5"/>
        <v>20</v>
      </c>
      <c r="G9" s="93">
        <f t="shared" ca="1" si="2"/>
        <v>0.1</v>
      </c>
      <c r="H9" s="66">
        <f t="shared" ca="1" si="6"/>
        <v>18</v>
      </c>
      <c r="I9" s="66">
        <f t="shared" ca="1" si="3"/>
        <v>288</v>
      </c>
      <c r="J9" s="67">
        <f t="shared" ca="1" si="4"/>
        <v>5</v>
      </c>
      <c r="K9" s="68"/>
    </row>
    <row r="10" spans="1:11" x14ac:dyDescent="0.25">
      <c r="A10" s="62" t="s">
        <v>47</v>
      </c>
      <c r="B10" s="63" t="str">
        <f t="shared" ca="1" si="0"/>
        <v>Deep Groove Bearing 608</v>
      </c>
      <c r="C10" s="62" t="s">
        <v>11</v>
      </c>
      <c r="D10" s="62">
        <v>8</v>
      </c>
      <c r="E10" s="64">
        <f t="shared" si="1"/>
        <v>32</v>
      </c>
      <c r="F10" s="65">
        <f t="shared" ca="1" si="5"/>
        <v>4.5</v>
      </c>
      <c r="G10" s="93">
        <f t="shared" ca="1" si="2"/>
        <v>0</v>
      </c>
      <c r="H10" s="66">
        <f t="shared" ca="1" si="6"/>
        <v>4.5</v>
      </c>
      <c r="I10" s="66">
        <f t="shared" ca="1" si="3"/>
        <v>144</v>
      </c>
      <c r="J10" s="67">
        <f t="shared" ca="1" si="4"/>
        <v>5</v>
      </c>
      <c r="K10" s="68"/>
    </row>
    <row r="11" spans="1:11" x14ac:dyDescent="0.25">
      <c r="A11" s="62" t="s">
        <v>49</v>
      </c>
      <c r="B11" s="63" t="str">
        <f t="shared" ca="1" si="0"/>
        <v>M5 Fastener Kit (100pc)</v>
      </c>
      <c r="C11" s="62" t="s">
        <v>13</v>
      </c>
      <c r="D11" s="62">
        <v>1</v>
      </c>
      <c r="E11" s="64">
        <f t="shared" si="1"/>
        <v>4</v>
      </c>
      <c r="F11" s="65">
        <f t="shared" ca="1" si="5"/>
        <v>13.5</v>
      </c>
      <c r="G11" s="93">
        <f t="shared" ca="1" si="2"/>
        <v>0</v>
      </c>
      <c r="H11" s="66">
        <f t="shared" ca="1" si="6"/>
        <v>13.5</v>
      </c>
      <c r="I11" s="66">
        <f t="shared" ca="1" si="3"/>
        <v>54</v>
      </c>
      <c r="J11" s="67">
        <f t="shared" ca="1" si="4"/>
        <v>5</v>
      </c>
      <c r="K11" s="68"/>
    </row>
    <row r="12" spans="1:11" x14ac:dyDescent="0.25">
      <c r="A12" s="62" t="s">
        <v>51</v>
      </c>
      <c r="B12" s="63" t="str">
        <f t="shared" ca="1" si="0"/>
        <v>Motor Controller Board</v>
      </c>
      <c r="C12" s="62" t="s">
        <v>14</v>
      </c>
      <c r="D12" s="62">
        <v>1</v>
      </c>
      <c r="E12" s="64">
        <f t="shared" si="1"/>
        <v>4</v>
      </c>
      <c r="F12" s="65">
        <f t="shared" ca="1" si="5"/>
        <v>62</v>
      </c>
      <c r="G12" s="93">
        <f t="shared" ca="1" si="2"/>
        <v>0</v>
      </c>
      <c r="H12" s="66">
        <f t="shared" ca="1" si="6"/>
        <v>62</v>
      </c>
      <c r="I12" s="66">
        <f t="shared" ca="1" si="3"/>
        <v>248</v>
      </c>
      <c r="J12" s="67">
        <f t="shared" ca="1" si="4"/>
        <v>12</v>
      </c>
      <c r="K12" s="68"/>
    </row>
    <row r="13" spans="1:11" x14ac:dyDescent="0.25">
      <c r="A13" s="62" t="s">
        <v>53</v>
      </c>
      <c r="B13" s="63" t="str">
        <f t="shared" ca="1" si="0"/>
        <v>24V Power Supply 5A</v>
      </c>
      <c r="C13" s="62" t="s">
        <v>11</v>
      </c>
      <c r="D13" s="62">
        <v>1</v>
      </c>
      <c r="E13" s="64">
        <f t="shared" si="1"/>
        <v>4</v>
      </c>
      <c r="F13" s="65">
        <f t="shared" ca="1" si="5"/>
        <v>35</v>
      </c>
      <c r="G13" s="93">
        <f t="shared" ca="1" si="2"/>
        <v>0</v>
      </c>
      <c r="H13" s="66">
        <f t="shared" ca="1" si="6"/>
        <v>35</v>
      </c>
      <c r="I13" s="66">
        <f t="shared" ca="1" si="3"/>
        <v>140</v>
      </c>
      <c r="J13" s="67">
        <f t="shared" ca="1" si="4"/>
        <v>7</v>
      </c>
      <c r="K13" s="68"/>
    </row>
    <row r="14" spans="1:11" x14ac:dyDescent="0.25">
      <c r="A14" s="62" t="s">
        <v>61</v>
      </c>
      <c r="B14" s="63" t="str">
        <f t="shared" ca="1" si="0"/>
        <v>Cable Harness 1m</v>
      </c>
      <c r="C14" s="62" t="s">
        <v>14</v>
      </c>
      <c r="D14" s="62">
        <v>1</v>
      </c>
      <c r="E14" s="64">
        <f t="shared" si="1"/>
        <v>4</v>
      </c>
      <c r="F14" s="65">
        <f t="shared" ca="1" si="5"/>
        <v>11</v>
      </c>
      <c r="G14" s="93">
        <f t="shared" ca="1" si="2"/>
        <v>0</v>
      </c>
      <c r="H14" s="66">
        <f t="shared" ca="1" si="6"/>
        <v>11</v>
      </c>
      <c r="I14" s="66">
        <f t="shared" ca="1" si="3"/>
        <v>44</v>
      </c>
      <c r="J14" s="67">
        <f t="shared" ca="1" si="4"/>
        <v>6</v>
      </c>
      <c r="K14" s="68"/>
    </row>
    <row r="15" spans="1:11" x14ac:dyDescent="0.25">
      <c r="A15" s="68"/>
      <c r="B15" s="68"/>
      <c r="C15" s="68"/>
      <c r="D15" s="68"/>
      <c r="E15" s="68"/>
      <c r="F15" s="68"/>
      <c r="G15" s="68"/>
      <c r="H15" s="68"/>
      <c r="I15" s="68"/>
      <c r="J15" s="68"/>
      <c r="K15" s="68"/>
    </row>
    <row r="16" spans="1:11" x14ac:dyDescent="0.25">
      <c r="A16" s="68"/>
      <c r="B16" s="68"/>
      <c r="C16" s="68"/>
      <c r="D16" s="68"/>
      <c r="E16" s="68"/>
      <c r="F16" s="68"/>
      <c r="G16" s="68"/>
      <c r="H16" s="68"/>
      <c r="I16" s="68"/>
      <c r="J16" s="68"/>
      <c r="K16" s="68"/>
    </row>
    <row r="17" spans="1:11" ht="15.75" x14ac:dyDescent="0.25">
      <c r="A17" s="69" t="s">
        <v>113</v>
      </c>
      <c r="B17" s="70"/>
      <c r="C17" s="70"/>
      <c r="D17" s="70"/>
      <c r="E17" s="70"/>
      <c r="F17" s="70"/>
      <c r="G17" s="70"/>
      <c r="H17" s="71">
        <f ca="1">SUM(I4:I14)</f>
        <v>2652</v>
      </c>
      <c r="I17" s="68"/>
      <c r="J17" s="68"/>
      <c r="K17" s="68"/>
    </row>
  </sheetData>
  <mergeCells count="2">
    <mergeCell ref="A1:J1"/>
    <mergeCell ref="A17:G17"/>
  </mergeCells>
  <dataValidations count="1">
    <dataValidation type="list" errorTitle="Invalid Vendor" error="Please select from the list" sqref="C4:C14" xr:uid="{00000000-0002-0000-0700-000000000000}">
      <formula1>"Vendor_A,Vendor_B,Vendor_C"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J19"/>
  <sheetViews>
    <sheetView showGridLines="0" workbookViewId="0">
      <selection activeCell="F23" sqref="F23"/>
    </sheetView>
  </sheetViews>
  <sheetFormatPr defaultRowHeight="15" x14ac:dyDescent="0.25"/>
  <cols>
    <col min="1" max="1" width="22.5703125" bestFit="1" customWidth="1"/>
    <col min="2" max="2" width="28" customWidth="1"/>
    <col min="3" max="3" width="15.85546875" bestFit="1" customWidth="1"/>
    <col min="4" max="4" width="20.85546875" bestFit="1" customWidth="1"/>
    <col min="5" max="5" width="15" customWidth="1"/>
    <col min="6" max="6" width="14.28515625" bestFit="1" customWidth="1"/>
    <col min="7" max="7" width="24" bestFit="1" customWidth="1"/>
    <col min="8" max="8" width="21" bestFit="1" customWidth="1"/>
    <col min="9" max="9" width="16" customWidth="1"/>
    <col min="10" max="10" width="18" customWidth="1"/>
  </cols>
  <sheetData>
    <row r="1" spans="1:10" ht="18" x14ac:dyDescent="0.25">
      <c r="A1" s="45" t="s">
        <v>63</v>
      </c>
      <c r="B1" s="42"/>
      <c r="C1" s="42"/>
      <c r="D1" s="42"/>
      <c r="E1" s="42"/>
      <c r="F1" s="42"/>
      <c r="G1" s="42"/>
      <c r="H1" s="42"/>
      <c r="I1" s="42"/>
      <c r="J1" s="43"/>
    </row>
    <row r="2" spans="1:10" x14ac:dyDescent="0.25">
      <c r="A2" s="47" t="s">
        <v>64</v>
      </c>
      <c r="B2" s="21"/>
      <c r="C2" s="21"/>
      <c r="D2" s="21"/>
      <c r="E2" s="21"/>
      <c r="F2" s="21"/>
      <c r="G2" s="21"/>
      <c r="H2" s="21"/>
      <c r="I2" s="21"/>
      <c r="J2" s="21"/>
    </row>
    <row r="4" spans="1:10" x14ac:dyDescent="0.25">
      <c r="A4" s="46" t="s">
        <v>117</v>
      </c>
      <c r="B4" s="21"/>
      <c r="C4" s="21"/>
      <c r="D4" s="21"/>
      <c r="E4" s="21"/>
      <c r="F4" s="21"/>
      <c r="G4" s="21"/>
      <c r="H4" s="21"/>
      <c r="I4" s="21"/>
      <c r="J4" s="21"/>
    </row>
    <row r="6" spans="1:10" x14ac:dyDescent="0.25">
      <c r="A6" s="1" t="s">
        <v>28</v>
      </c>
      <c r="B6" s="1" t="s">
        <v>29</v>
      </c>
      <c r="C6" s="1" t="s">
        <v>65</v>
      </c>
      <c r="D6" s="1" t="s">
        <v>66</v>
      </c>
      <c r="E6" s="1" t="s">
        <v>31</v>
      </c>
      <c r="F6" s="1" t="s">
        <v>67</v>
      </c>
      <c r="G6" s="1" t="s">
        <v>68</v>
      </c>
      <c r="H6" s="1" t="s">
        <v>69</v>
      </c>
      <c r="I6" s="1" t="s">
        <v>70</v>
      </c>
      <c r="J6" s="1" t="s">
        <v>71</v>
      </c>
    </row>
    <row r="7" spans="1:10" x14ac:dyDescent="0.25">
      <c r="A7" s="2" t="s">
        <v>35</v>
      </c>
      <c r="B7" s="7" t="str">
        <f>IFERROR(VLOOKUP(A7,Vendor_A!$A$1:$G$20,2,FALSE),"")</f>
        <v>Stepper Motor NEMA 23</v>
      </c>
      <c r="C7" s="15">
        <v>4</v>
      </c>
      <c r="D7" s="15">
        <v>20</v>
      </c>
      <c r="E7" s="9">
        <f>IFERROR(VLOOKUP(A7,Vendor_A!$A$1:$G$20,4,FALSE),7)</f>
        <v>7</v>
      </c>
      <c r="F7" s="16">
        <f t="shared" ref="F7:F16" si="0">D7*0.5</f>
        <v>10</v>
      </c>
      <c r="G7" s="16">
        <f t="shared" ref="G7:G16" si="1">(D7/30)*E7+F7</f>
        <v>14.666666666666666</v>
      </c>
      <c r="H7" s="16">
        <f t="shared" ref="H7:H16" si="2">IF(C7&lt;G7,D7-C7,0)</f>
        <v>16</v>
      </c>
      <c r="I7" s="17" t="str">
        <f>IF(C7&lt;G7,"REORDER NOW",IF(C7&lt;G7*1.2,"LOW STOCK","HEALTHY"))</f>
        <v>REORDER NOW</v>
      </c>
      <c r="J7" s="8" t="str">
        <f t="shared" ref="J7:J16" si="3">IF(H7&gt;0,"Order "&amp;TEXT(H7,"0")&amp;" units","-")</f>
        <v>Order 16 units</v>
      </c>
    </row>
    <row r="8" spans="1:10" x14ac:dyDescent="0.25">
      <c r="A8" s="2" t="s">
        <v>37</v>
      </c>
      <c r="B8" s="7" t="str">
        <f>IFERROR(VLOOKUP(A8,Vendor_A!$A$1:$G$20,2,FALSE),"")</f>
        <v>Linear Guide Rail 500mm</v>
      </c>
      <c r="C8" s="15">
        <v>19</v>
      </c>
      <c r="D8" s="15">
        <v>20</v>
      </c>
      <c r="E8" s="9">
        <f>IFERROR(VLOOKUP(A8,Vendor_A!$A$1:$G$20,4,FALSE),7)</f>
        <v>10</v>
      </c>
      <c r="F8" s="16">
        <f t="shared" si="0"/>
        <v>10</v>
      </c>
      <c r="G8" s="16">
        <f t="shared" si="1"/>
        <v>16.666666666666664</v>
      </c>
      <c r="H8" s="16">
        <f t="shared" si="2"/>
        <v>0</v>
      </c>
      <c r="I8" s="17" t="str">
        <f t="shared" ref="I8:I16" si="4">IF(C8&lt;G8,"REORDER NOW",IF(C8&lt;G8*1.2,"LOW STOCK","HEALTHY"))</f>
        <v>LOW STOCK</v>
      </c>
      <c r="J8" s="8" t="str">
        <f t="shared" si="3"/>
        <v>-</v>
      </c>
    </row>
    <row r="9" spans="1:10" x14ac:dyDescent="0.25">
      <c r="A9" s="2" t="s">
        <v>39</v>
      </c>
      <c r="B9" s="7" t="str">
        <f>IFERROR(VLOOKUP(A9,Vendor_A!$A$1:$G$20,2,FALSE),"")</f>
        <v>Ball Screw Assembly</v>
      </c>
      <c r="C9" s="15">
        <v>50</v>
      </c>
      <c r="D9" s="15">
        <v>20</v>
      </c>
      <c r="E9" s="9">
        <f>IFERROR(VLOOKUP(A9,Vendor_A!$A$1:$G$20,4,FALSE),7)</f>
        <v>14</v>
      </c>
      <c r="F9" s="16">
        <f t="shared" si="0"/>
        <v>10</v>
      </c>
      <c r="G9" s="16">
        <f t="shared" si="1"/>
        <v>19.333333333333332</v>
      </c>
      <c r="H9" s="16">
        <f t="shared" si="2"/>
        <v>0</v>
      </c>
      <c r="I9" s="17" t="str">
        <f t="shared" si="4"/>
        <v>HEALTHY</v>
      </c>
      <c r="J9" s="8" t="str">
        <f t="shared" si="3"/>
        <v>-</v>
      </c>
    </row>
    <row r="10" spans="1:10" x14ac:dyDescent="0.25">
      <c r="A10" s="2" t="s">
        <v>47</v>
      </c>
      <c r="B10" s="7" t="str">
        <f>IFERROR(VLOOKUP(A10,Vendor_A!$A$1:$G$20,2,FALSE),"")</f>
        <v>Deep Groove Bearing 608</v>
      </c>
      <c r="C10" s="15">
        <v>50</v>
      </c>
      <c r="D10" s="15">
        <v>20</v>
      </c>
      <c r="E10" s="9">
        <f>IFERROR(VLOOKUP(A10,Vendor_A!$A$1:$G$20,4,FALSE),7)</f>
        <v>5</v>
      </c>
      <c r="F10" s="16">
        <f t="shared" si="0"/>
        <v>10</v>
      </c>
      <c r="G10" s="16">
        <f t="shared" si="1"/>
        <v>13.333333333333332</v>
      </c>
      <c r="H10" s="16">
        <f t="shared" si="2"/>
        <v>0</v>
      </c>
      <c r="I10" s="17" t="str">
        <f t="shared" si="4"/>
        <v>HEALTHY</v>
      </c>
      <c r="J10" s="8" t="str">
        <f t="shared" si="3"/>
        <v>-</v>
      </c>
    </row>
    <row r="11" spans="1:10" x14ac:dyDescent="0.25">
      <c r="A11" s="2" t="s">
        <v>49</v>
      </c>
      <c r="B11" s="7" t="str">
        <f>IFERROR(VLOOKUP(A11,Vendor_A!$A$1:$G$20,2,FALSE),"")</f>
        <v>M5 Fastener Kit (100pc)</v>
      </c>
      <c r="C11" s="15">
        <v>50</v>
      </c>
      <c r="D11" s="15">
        <v>20</v>
      </c>
      <c r="E11" s="9">
        <f>IFERROR(VLOOKUP(A11,Vendor_A!$A$1:$G$20,4,FALSE),7)</f>
        <v>3</v>
      </c>
      <c r="F11" s="16">
        <f t="shared" si="0"/>
        <v>10</v>
      </c>
      <c r="G11" s="16">
        <f t="shared" si="1"/>
        <v>12</v>
      </c>
      <c r="H11" s="16">
        <f t="shared" si="2"/>
        <v>0</v>
      </c>
      <c r="I11" s="17" t="str">
        <f t="shared" si="4"/>
        <v>HEALTHY</v>
      </c>
      <c r="J11" s="8" t="str">
        <f t="shared" si="3"/>
        <v>-</v>
      </c>
    </row>
    <row r="12" spans="1:10" x14ac:dyDescent="0.25">
      <c r="A12" s="2" t="s">
        <v>51</v>
      </c>
      <c r="B12" s="7" t="str">
        <f>IFERROR(VLOOKUP(A12,Vendor_A!$A$1:$G$20,2,FALSE),"")</f>
        <v>Motor Controller Board</v>
      </c>
      <c r="C12" s="15">
        <v>50</v>
      </c>
      <c r="D12" s="15">
        <v>20</v>
      </c>
      <c r="E12" s="9">
        <f>IFERROR(VLOOKUP(A12,Vendor_A!$A$1:$G$20,4,FALSE),7)</f>
        <v>10</v>
      </c>
      <c r="F12" s="16">
        <f t="shared" si="0"/>
        <v>10</v>
      </c>
      <c r="G12" s="16">
        <f t="shared" si="1"/>
        <v>16.666666666666664</v>
      </c>
      <c r="H12" s="16">
        <f t="shared" si="2"/>
        <v>0</v>
      </c>
      <c r="I12" s="17" t="str">
        <f t="shared" si="4"/>
        <v>HEALTHY</v>
      </c>
      <c r="J12" s="8" t="str">
        <f t="shared" si="3"/>
        <v>-</v>
      </c>
    </row>
    <row r="13" spans="1:10" x14ac:dyDescent="0.25">
      <c r="A13" s="2" t="s">
        <v>53</v>
      </c>
      <c r="B13" s="7" t="str">
        <f>IFERROR(VLOOKUP(A13,Vendor_A!$A$1:$G$20,2,FALSE),"")</f>
        <v>24V Power Supply 5A</v>
      </c>
      <c r="C13" s="15">
        <v>50</v>
      </c>
      <c r="D13" s="15">
        <v>20</v>
      </c>
      <c r="E13" s="9">
        <f>IFERROR(VLOOKUP(A13,Vendor_A!$A$1:$G$20,4,FALSE),7)</f>
        <v>7</v>
      </c>
      <c r="F13" s="16">
        <f t="shared" si="0"/>
        <v>10</v>
      </c>
      <c r="G13" s="16">
        <f t="shared" si="1"/>
        <v>14.666666666666666</v>
      </c>
      <c r="H13" s="16">
        <f t="shared" si="2"/>
        <v>0</v>
      </c>
      <c r="I13" s="17" t="str">
        <f t="shared" si="4"/>
        <v>HEALTHY</v>
      </c>
      <c r="J13" s="8" t="str">
        <f t="shared" si="3"/>
        <v>-</v>
      </c>
    </row>
    <row r="14" spans="1:10" x14ac:dyDescent="0.25">
      <c r="A14" s="2" t="s">
        <v>55</v>
      </c>
      <c r="B14" s="7" t="str">
        <f>IFERROR(VLOOKUP(A14,Vendor_A!$A$1:$G$20,2,FALSE),"")</f>
        <v>Servo Motor MG996R</v>
      </c>
      <c r="C14" s="15">
        <v>50</v>
      </c>
      <c r="D14" s="15">
        <v>20</v>
      </c>
      <c r="E14" s="9">
        <f>IFERROR(VLOOKUP(A14,Vendor_A!$A$1:$G$20,4,FALSE),7)</f>
        <v>5</v>
      </c>
      <c r="F14" s="16">
        <f t="shared" si="0"/>
        <v>10</v>
      </c>
      <c r="G14" s="16">
        <f t="shared" si="1"/>
        <v>13.333333333333332</v>
      </c>
      <c r="H14" s="16">
        <f t="shared" si="2"/>
        <v>0</v>
      </c>
      <c r="I14" s="17" t="str">
        <f t="shared" si="4"/>
        <v>HEALTHY</v>
      </c>
      <c r="J14" s="8" t="str">
        <f t="shared" si="3"/>
        <v>-</v>
      </c>
    </row>
    <row r="15" spans="1:10" x14ac:dyDescent="0.25">
      <c r="A15" s="2" t="s">
        <v>59</v>
      </c>
      <c r="B15" s="7" t="str">
        <f>IFERROR(VLOOKUP(A15,Vendor_A!$A$1:$G$20,2,FALSE),"")</f>
        <v>Linear Bearing LM8UU</v>
      </c>
      <c r="C15" s="15">
        <v>50</v>
      </c>
      <c r="D15" s="15">
        <v>20</v>
      </c>
      <c r="E15" s="9">
        <f>IFERROR(VLOOKUP(A15,Vendor_A!$A$1:$G$20,4,FALSE),7)</f>
        <v>5</v>
      </c>
      <c r="F15" s="16">
        <f t="shared" si="0"/>
        <v>10</v>
      </c>
      <c r="G15" s="16">
        <f t="shared" si="1"/>
        <v>13.333333333333332</v>
      </c>
      <c r="H15" s="16">
        <f t="shared" si="2"/>
        <v>0</v>
      </c>
      <c r="I15" s="17" t="str">
        <f t="shared" si="4"/>
        <v>HEALTHY</v>
      </c>
      <c r="J15" s="8" t="str">
        <f t="shared" si="3"/>
        <v>-</v>
      </c>
    </row>
    <row r="16" spans="1:10" x14ac:dyDescent="0.25">
      <c r="A16" s="2" t="s">
        <v>61</v>
      </c>
      <c r="B16" s="7" t="str">
        <f>IFERROR(VLOOKUP(A16,Vendor_A!$A$1:$G$20,2,FALSE),"")</f>
        <v>Cable Harness 1m</v>
      </c>
      <c r="C16" s="15">
        <v>50</v>
      </c>
      <c r="D16" s="15">
        <v>20</v>
      </c>
      <c r="E16" s="9">
        <f>IFERROR(VLOOKUP(A16,Vendor_A!$A$1:$G$20,4,FALSE),7)</f>
        <v>5</v>
      </c>
      <c r="F16" s="16">
        <f t="shared" si="0"/>
        <v>10</v>
      </c>
      <c r="G16" s="16">
        <f t="shared" si="1"/>
        <v>13.333333333333332</v>
      </c>
      <c r="H16" s="16">
        <f t="shared" si="2"/>
        <v>0</v>
      </c>
      <c r="I16" s="17" t="str">
        <f t="shared" si="4"/>
        <v>HEALTHY</v>
      </c>
      <c r="J16" s="8" t="str">
        <f t="shared" si="3"/>
        <v>-</v>
      </c>
    </row>
    <row r="18" spans="1:10" ht="15.75" x14ac:dyDescent="0.25">
      <c r="A18" s="44" t="s">
        <v>72</v>
      </c>
      <c r="B18" s="21"/>
      <c r="C18" s="21"/>
      <c r="D18" s="21"/>
      <c r="E18" s="21"/>
      <c r="F18" s="21"/>
      <c r="G18" s="21"/>
      <c r="H18" s="21"/>
      <c r="I18" s="21"/>
      <c r="J18" s="21"/>
    </row>
    <row r="19" spans="1:10" x14ac:dyDescent="0.25">
      <c r="A19" s="18" t="s">
        <v>73</v>
      </c>
      <c r="B19" s="56">
        <f>COUNTIF(I7:I16,"REORDER NOW")</f>
        <v>1</v>
      </c>
      <c r="D19" s="18" t="s">
        <v>74</v>
      </c>
      <c r="E19" s="57">
        <f>COUNTIF(I7:I16,"LOW STOCK")</f>
        <v>1</v>
      </c>
      <c r="G19" s="18" t="s">
        <v>75</v>
      </c>
      <c r="H19" s="55">
        <f>COUNTIF(I7:I16,"HEALTHY")</f>
        <v>8</v>
      </c>
    </row>
  </sheetData>
  <mergeCells count="4">
    <mergeCell ref="A1:J1"/>
    <mergeCell ref="A4:J4"/>
    <mergeCell ref="A18:J18"/>
    <mergeCell ref="A2:J2"/>
  </mergeCells>
  <conditionalFormatting sqref="I7:I16">
    <cfRule type="containsText" dxfId="2" priority="1" operator="containsText" text="LOW STOCK">
      <formula>NOT(ISERROR(SEARCH("LOW STOCK",I7)))</formula>
    </cfRule>
    <cfRule type="containsText" dxfId="1" priority="2" operator="containsText" text="REORDER NOW">
      <formula>NOT(ISERROR(SEARCH("REORDER NOW",I7)))</formula>
    </cfRule>
    <cfRule type="containsText" dxfId="0" priority="3" operator="containsText" text="HEALTHY">
      <formula>NOT(ISERROR(SEARCH("HEALTHY",I7)))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Welcome</vt:lpstr>
      <vt:lpstr>VBA Setup Guide</vt:lpstr>
      <vt:lpstr>Vendor_A</vt:lpstr>
      <vt:lpstr>Vendor_B</vt:lpstr>
      <vt:lpstr>Vendor_C</vt:lpstr>
      <vt:lpstr>Product_LinearActuator</vt:lpstr>
      <vt:lpstr>Inventory Tracking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Mathuria, Jui</cp:lastModifiedBy>
  <dcterms:created xsi:type="dcterms:W3CDTF">2026-02-12T20:50:59Z</dcterms:created>
  <dcterms:modified xsi:type="dcterms:W3CDTF">2026-02-16T22:43:44Z</dcterms:modified>
</cp:coreProperties>
</file>